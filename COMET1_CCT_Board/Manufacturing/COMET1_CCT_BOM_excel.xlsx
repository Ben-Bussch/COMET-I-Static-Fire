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ew8g21_soton_ac_uk/Documents/SUSF/SULRE/COMET-I-Static-Fire/COMET1_CCT_Board/Manufacturing/"/>
    </mc:Choice>
  </mc:AlternateContent>
  <xr:revisionPtr revIDLastSave="653" documentId="8_{FDFFD9F8-4165-46B2-B18A-1E52AB657369}" xr6:coauthVersionLast="47" xr6:coauthVersionMax="47" xr10:uidLastSave="{9CFF9B9F-C138-4F22-8086-6397AF9144F4}"/>
  <bookViews>
    <workbookView xWindow="-108" yWindow="-108" windowWidth="23256" windowHeight="12576" xr2:uid="{12F930B6-768F-418C-A132-9872B70CF824}"/>
  </bookViews>
  <sheets>
    <sheet name="COMET1_CCT_BOM" sheetId="7" r:id="rId1"/>
    <sheet name="BOM_JLCPCB" sheetId="9" r:id="rId2"/>
    <sheet name="BOM_FARNELL" sheetId="8" r:id="rId3"/>
    <sheet name="bkp" sheetId="1" r:id="rId4"/>
  </sheets>
  <definedNames>
    <definedName name="ExternalData_1" localSheetId="0" hidden="1">'COMET1_CCT_BOM'!$A$1:$O$44</definedName>
    <definedName name="ExternalData_2" localSheetId="2" hidden="1">BOM_FARNELL!$A$1:$O$19</definedName>
    <definedName name="ExternalData_3" localSheetId="1" hidden="1">BOM_JLCPCB!$A$1:$P$24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8" l="1"/>
  <c r="D45" i="7"/>
  <c r="M45" i="7"/>
  <c r="O45" i="7"/>
  <c r="O20" i="8"/>
  <c r="D45" i="1"/>
  <c r="N45" i="1"/>
  <c r="P45" i="1"/>
  <c r="N21" i="1"/>
  <c r="N2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1584E-AC7D-4EAE-94AB-D90F96B54595}" keepAlive="1" name="Query - BOM_FARNELL" description="Connection to the 'BOM_FARNELL' query in the workbook." type="5" refreshedVersion="8" background="1" saveData="1">
    <dbPr connection="Provider=Microsoft.Mashup.OleDb.1;Data Source=$Workbook$;Location=BOM_FARNELL;Extended Properties=&quot;&quot;" command="SELECT * FROM [BOM_FARNELL]"/>
  </connection>
  <connection id="2" xr16:uid="{538CB71B-5B71-4308-93B4-6F031EDB72CF}" keepAlive="1" name="Query - BOM_JLCPCB" description="Connection to the 'BOM_JLCPCB' query in the workbook." type="5" refreshedVersion="8" background="1" saveData="1">
    <dbPr connection="Provider=Microsoft.Mashup.OleDb.1;Data Source=$Workbook$;Location=BOM_JLCPCB;Extended Properties=&quot;&quot;" command="SELECT * FROM [BOM_JLCPCB]"/>
  </connection>
  <connection id="3" xr16:uid="{A1EC7390-E2FF-40EF-BB7C-AC5499FF087F}" keepAlive="1" name="Query - COMET1_CCT_BOM" description="Connection to the 'COMET1_CCT_BOM' query in the workbook." type="5" refreshedVersion="8" background="1" saveData="1">
    <dbPr connection="Provider=Microsoft.Mashup.OleDb.1;Data Source=$Workbook$;Location=COMET1_CCT_BOM;Extended Properties=&quot;&quot;" command="SELECT * FROM [COMET1_CCT_BOM]"/>
  </connection>
</connections>
</file>

<file path=xl/sharedStrings.xml><?xml version="1.0" encoding="utf-8"?>
<sst xmlns="http://schemas.openxmlformats.org/spreadsheetml/2006/main" count="1253" uniqueCount="249">
  <si>
    <t>#</t>
  </si>
  <si>
    <t>Reference</t>
  </si>
  <si>
    <t>Value</t>
  </si>
  <si>
    <t>Description</t>
  </si>
  <si>
    <t>Datasheet</t>
  </si>
  <si>
    <t>Footprint</t>
  </si>
  <si>
    <t>DNP</t>
  </si>
  <si>
    <t>MPN</t>
  </si>
  <si>
    <t>BUZ1</t>
  </si>
  <si>
    <t>~</t>
  </si>
  <si>
    <t>0_Passives:BUZZER,7.5x7.5mm</t>
  </si>
  <si>
    <t>4.7uF</t>
  </si>
  <si>
    <t>SMD 0402 MLCC capacitor</t>
  </si>
  <si>
    <t>0_Capacitors:C_0402_1005_DensityHigh</t>
  </si>
  <si>
    <t>100nF</t>
  </si>
  <si>
    <t>0_Capacitors:C_0402_1005_DensityMedium</t>
  </si>
  <si>
    <t>15pF</t>
  </si>
  <si>
    <t>SMD 0603 MLCC capacitor</t>
  </si>
  <si>
    <t>0_Capacitors:C_0603_1608_DensityHigh</t>
  </si>
  <si>
    <t>10nF</t>
  </si>
  <si>
    <t>D1</t>
  </si>
  <si>
    <t>D2</t>
  </si>
  <si>
    <t>USBLC6-2SC6</t>
  </si>
  <si>
    <t>TVS Diode Array</t>
  </si>
  <si>
    <t>https://www.tme.eu/Document/db59d28d28a96c34f26d05f234ff409c/USBLC6-2.pdf</t>
  </si>
  <si>
    <t>0_Passives:SOT-23-6</t>
  </si>
  <si>
    <t>https://uk.farnell.com/stmicroelectronics/usblc6-2sc6/esd-protection-17v-sot-23/dp/1269406</t>
  </si>
  <si>
    <t>D3</t>
  </si>
  <si>
    <t>F1</t>
  </si>
  <si>
    <t>Fuse</t>
  </si>
  <si>
    <t>SMD 1210 Fuse</t>
  </si>
  <si>
    <t>0_Power:Fuse_1210_3225Metric</t>
  </si>
  <si>
    <t>DF11-10DS-2DSA</t>
  </si>
  <si>
    <t>Hirose DF11 Series, 2mm Pitch 10 Way 2 Row Straight PCB Header, Solder Termination, 2A</t>
  </si>
  <si>
    <t>https://www.hirose.com/product/document?clcode=CL0543-0555-4-05&amp;productname=DF11-10DS-2DSA(05)&amp;series=DF11&amp;documenttype=2DDrawing&amp;lang=en&amp;documentid=0000995404</t>
  </si>
  <si>
    <t>0_Connectors:DF11-10DS-2DSA</t>
  </si>
  <si>
    <t>J3</t>
  </si>
  <si>
    <t>Micro_SD_Card</t>
  </si>
  <si>
    <t>Micro SD Card Socket</t>
  </si>
  <si>
    <t>0_Connectors:Molex_472192001_uSD</t>
  </si>
  <si>
    <t>J5</t>
  </si>
  <si>
    <t>USBC_Conn</t>
  </si>
  <si>
    <t>USB 2.0-only 16P Type-C Receptacle connector</t>
  </si>
  <si>
    <t>https://www.usb.org/sites/default/files/documents/usb_type-c.zip</t>
  </si>
  <si>
    <t>0_Connectors:USB4105_GCT</t>
  </si>
  <si>
    <t>USB4085-GF-A</t>
  </si>
  <si>
    <t>https://uk.farnell.com/gct-global-connector-technology/usb4085-gf-a/usb-conn-2-0-type-c-r-a-rcpt-16pos/dp/2924867</t>
  </si>
  <si>
    <t>J6</t>
  </si>
  <si>
    <t>RJ45_LED_Shielded</t>
  </si>
  <si>
    <t>RJ connector, 8P8C (8 positions 8 connected), two LEDs, Shielded</t>
  </si>
  <si>
    <t>0_Connectors:RJ45_56L-88112011</t>
  </si>
  <si>
    <t>Molex_01x02</t>
  </si>
  <si>
    <t>MOLEX - 502352-0201 - WTB CONN, HEADER, 2POS, 1ROW, 2MM</t>
  </si>
  <si>
    <t>https://www.molex.com/pdm_docs/sd/5023520201_sd.pdf</t>
  </si>
  <si>
    <t>0_Connectors:502352_0201</t>
  </si>
  <si>
    <t>502352-0201</t>
  </si>
  <si>
    <t>https://uk.farnell.com/molex/502352-0201/wtb-conn-header-2pos-1row-2mm/dp/3103081</t>
  </si>
  <si>
    <t>L1</t>
  </si>
  <si>
    <t>RP2350 specific Inductor, Polarised</t>
  </si>
  <si>
    <t>0_MCU:L_AOTA_B20_2016</t>
  </si>
  <si>
    <t>L2</t>
  </si>
  <si>
    <t>12uH</t>
  </si>
  <si>
    <t>0_Passives:L_1206_3216Metric</t>
  </si>
  <si>
    <t>LED1</t>
  </si>
  <si>
    <t>Green</t>
  </si>
  <si>
    <t>0_Passives:LED_0603_1608Metric</t>
  </si>
  <si>
    <t>LED2</t>
  </si>
  <si>
    <t>Red</t>
  </si>
  <si>
    <t>27R</t>
  </si>
  <si>
    <t>SMD 0402 Chip Resistor</t>
  </si>
  <si>
    <t>0_Resistors:R_0402_1005_DensityHigh</t>
  </si>
  <si>
    <t>R3</t>
  </si>
  <si>
    <t>33R</t>
  </si>
  <si>
    <t>R4</t>
  </si>
  <si>
    <t>10kR</t>
  </si>
  <si>
    <t>SMD 0603 Chip Resistor</t>
  </si>
  <si>
    <t>0_Resistors:R_0603_1608_DensityHigh</t>
  </si>
  <si>
    <t>1kR</t>
  </si>
  <si>
    <t>5.1kR</t>
  </si>
  <si>
    <t>R13</t>
  </si>
  <si>
    <t>0R</t>
  </si>
  <si>
    <t>SMD 0805 Chip Resistor</t>
  </si>
  <si>
    <t>0_Resistors:R_0805_2012_DensityHigh</t>
  </si>
  <si>
    <t>220R</t>
  </si>
  <si>
    <t>R16</t>
  </si>
  <si>
    <t>120R</t>
  </si>
  <si>
    <t>SMD 1206 Chip Resistor</t>
  </si>
  <si>
    <t>0_Resistors:R_1206_3216_DensityHigh_Large</t>
  </si>
  <si>
    <t>R20</t>
  </si>
  <si>
    <t>118kR</t>
  </si>
  <si>
    <t>R21</t>
  </si>
  <si>
    <t>13.3kR</t>
  </si>
  <si>
    <t>R22</t>
  </si>
  <si>
    <t>U1</t>
  </si>
  <si>
    <t>RP2350B</t>
  </si>
  <si>
    <t>RP2350B_80QFN</t>
  </si>
  <si>
    <t>0_MCU:RP2350B_80QFN</t>
  </si>
  <si>
    <t>U2</t>
  </si>
  <si>
    <t>S25FL128</t>
  </si>
  <si>
    <t>16MB Flash</t>
  </si>
  <si>
    <t>https://www.arrow.com/en/products/s25fl128lagmfi013/cypress-semiconductor</t>
  </si>
  <si>
    <t>0_MCU:SOIC-8_5.3x5.3mm_P1.27mm</t>
  </si>
  <si>
    <t>S25FL128LAGMFI013</t>
  </si>
  <si>
    <t>https://uk.farnell.com/infineon/s25fl128lagmfi013/flash-memory-128mbit-40-to-85deg/dp/4128033</t>
  </si>
  <si>
    <t>U3</t>
  </si>
  <si>
    <t>NCP1117_3.3</t>
  </si>
  <si>
    <t>1A Low drop-out regulator</t>
  </si>
  <si>
    <t>http://www.onsemi.com/pub_link/Collateral/NCP1117-D.PDF</t>
  </si>
  <si>
    <t>0_Power:SOT-223-3_TabPin2</t>
  </si>
  <si>
    <t>NCP1117LPST33T3G</t>
  </si>
  <si>
    <t>https://uk.farnell.com/on-semiconductor/ncp1117lpst33t3g/ldo-fixed-3-3v-1a-sot-223-3/dp/2534283</t>
  </si>
  <si>
    <t>U4</t>
  </si>
  <si>
    <t>RS-485 Interface IC, Full-duplex</t>
  </si>
  <si>
    <t>0_Sensors:SOIC-8_3.9x4.9mm_P1.27mm</t>
  </si>
  <si>
    <t>https://uk.farnell.com/analog-devices/max490esa-t/slew-rate-limited-rs-485-rs-422/dp/3596311</t>
  </si>
  <si>
    <t>U5</t>
  </si>
  <si>
    <t>LM27313</t>
  </si>
  <si>
    <t>DC/DC Boost converter</t>
  </si>
  <si>
    <t>http://www.ti.com/lit/ds/symlink/lm27313.pdf</t>
  </si>
  <si>
    <t>0_Power:SOT-23-5</t>
  </si>
  <si>
    <t>LM27313XMFX/NOPB</t>
  </si>
  <si>
    <t>https://uk.farnell.com/texas-instruments/lm27313xmfx-nopb/dc-dc-conv-buck-1-6mhz-sot-23/dp/3121547</t>
  </si>
  <si>
    <t>U6</t>
  </si>
  <si>
    <t>PAC1934</t>
  </si>
  <si>
    <t>Quad High-Side Current Sensor, I2C</t>
  </si>
  <si>
    <t>https://datasheet.datasheetarchive.com/originals/distributors/DKDS41/DSANUWW0026729.pdf</t>
  </si>
  <si>
    <t>0_Sensors:PAC1934T-I_JQ</t>
  </si>
  <si>
    <t>PAC1934T-I/JQ</t>
  </si>
  <si>
    <t>https://uk.farnell.com/microchip/pac1934t-i-jq/dc-power-energy-monitor-with-accumulator/dp/2907898</t>
  </si>
  <si>
    <t>MCP96R00</t>
  </si>
  <si>
    <t>Thermocouple to I2C</t>
  </si>
  <si>
    <t>https://componentsearchengine.com/Datasheets/1/MCP96RL00-E_MX.pdf</t>
  </si>
  <si>
    <t>0_Sensors:MCP9600L00</t>
  </si>
  <si>
    <t>MCP96RL00-E/MX</t>
  </si>
  <si>
    <t>https://uk.farnell.com/microchip/mcp96rl00-e-mx/thermocouple-emf-temp-converter/dp/2991624</t>
  </si>
  <si>
    <t>U9</t>
  </si>
  <si>
    <t>STS4x</t>
  </si>
  <si>
    <t>Board Mount Temperature Sensor</t>
  </si>
  <si>
    <t>https://sensirion.com/media/documents/D2D0B4A9/667AC1F4/HT_DS_Datasheet_STS4x.pdf</t>
  </si>
  <si>
    <t>0_Sensors:STS4LAD1BR3</t>
  </si>
  <si>
    <t>STS4L-AD1B-R3</t>
  </si>
  <si>
    <t>https://uk.farnell.com/sensirion/sts4l-ad1b-r3/temperature-sensor-0-4deg-c-dfn/dp/4551122</t>
  </si>
  <si>
    <t>X1</t>
  </si>
  <si>
    <t>ABM8-272-T3</t>
  </si>
  <si>
    <t>Oscillator</t>
  </si>
  <si>
    <t>0_MCU:ABM8272T3</t>
  </si>
  <si>
    <t>https://uk.farnell.com/abracon/abm8-272-t3/crystal-12mhz-10pf-3-2mm-x-2-5mm/dp/4331750</t>
  </si>
  <si>
    <t>Column1</t>
  </si>
  <si>
    <t>3.3uH</t>
  </si>
  <si>
    <t>4.7kR</t>
  </si>
  <si>
    <t>0.2R</t>
  </si>
  <si>
    <t>AOTA-B201610S3R3-101-T</t>
  </si>
  <si>
    <t>https://uk.farnell.com/abracon/aota-b201610s3r3-101-t/power-inductor-3-3uh-2-3a-20/dp/4568814</t>
  </si>
  <si>
    <t>https://jlcpcb.com/partdetail/EVERCOM-56L88112011/C19078598</t>
  </si>
  <si>
    <t>C42415655</t>
  </si>
  <si>
    <t>47219-2001</t>
  </si>
  <si>
    <t>https://uk.farnell.com/molex/47219-2001/connector-micro-sd-8pos/dp/2614940</t>
  </si>
  <si>
    <t>https://uk.farnell.com/hirose-hrs/df11-10ds-2dsa-05/receptacle-2mm-10way/dp/1688320</t>
  </si>
  <si>
    <t>Supplier</t>
  </si>
  <si>
    <t>Part Number</t>
  </si>
  <si>
    <t>Qty</t>
  </si>
  <si>
    <t>Part Link</t>
  </si>
  <si>
    <t>Part Price</t>
  </si>
  <si>
    <t>Order Qty</t>
  </si>
  <si>
    <t>Order Price</t>
  </si>
  <si>
    <t>Farnell</t>
  </si>
  <si>
    <t>JLCPCB</t>
  </si>
  <si>
    <t>ISL83488IBZ-T</t>
  </si>
  <si>
    <t>ISL83488</t>
  </si>
  <si>
    <t>https://4donline.ihs.com/images/VipMasterIC/IC/RNCC/RNCC-S-A0010774810/RNCC-S-A0010813056-1.pdf?hkey=6D3A4C79FDBF58556ACFDE234799DDF0</t>
  </si>
  <si>
    <t>C4, C5, C6, C7, C8, C9, C10, C11, C12, C13, C14</t>
  </si>
  <si>
    <t>C1, C2, C3, C15</t>
  </si>
  <si>
    <t>C16, C17</t>
  </si>
  <si>
    <t>C18, C19, C24, C27, C28, C30, C32, C33</t>
  </si>
  <si>
    <t>C22, C23, C29, C31</t>
  </si>
  <si>
    <t>C25, C26</t>
  </si>
  <si>
    <t>U7, U8</t>
  </si>
  <si>
    <t>J1, J2</t>
  </si>
  <si>
    <t>J7, J8, J9, J10, J11, J12</t>
  </si>
  <si>
    <t>R1, R2</t>
  </si>
  <si>
    <t>R5, R6</t>
  </si>
  <si>
    <t>R7, R8</t>
  </si>
  <si>
    <t>R9, R10</t>
  </si>
  <si>
    <t>R11, R12</t>
  </si>
  <si>
    <t>R14, R15</t>
  </si>
  <si>
    <t>R17, R18, R19</t>
  </si>
  <si>
    <t>MP008277</t>
  </si>
  <si>
    <t>MP008288</t>
  </si>
  <si>
    <t>MCSD54-120MU</t>
  </si>
  <si>
    <t>CL05A475MP5NRNC</t>
  </si>
  <si>
    <t>C23733</t>
  </si>
  <si>
    <t>CC0603KRX7R9BB104</t>
  </si>
  <si>
    <t>C14663</t>
  </si>
  <si>
    <t>0402CG150J500NT</t>
  </si>
  <si>
    <t>C1548</t>
  </si>
  <si>
    <t>CL05B104KO5NNNC</t>
  </si>
  <si>
    <t>C1525</t>
  </si>
  <si>
    <t>0603B103K500NT</t>
  </si>
  <si>
    <t>C57112</t>
  </si>
  <si>
    <t>CL10A475KO8NNNC</t>
  </si>
  <si>
    <t>C19666</t>
  </si>
  <si>
    <t>0603WAF270JT5E</t>
  </si>
  <si>
    <t>C25190</t>
  </si>
  <si>
    <t>0402WGF330JTCE</t>
  </si>
  <si>
    <t>C25105</t>
  </si>
  <si>
    <t>0603WAF1002T5E</t>
  </si>
  <si>
    <t>C25804</t>
  </si>
  <si>
    <t>0603WAF1001T5E</t>
  </si>
  <si>
    <t>C21190</t>
  </si>
  <si>
    <t>0603WAF4701T5E</t>
  </si>
  <si>
    <t>C23162</t>
  </si>
  <si>
    <t>0603WAF5101T5E</t>
  </si>
  <si>
    <t>C23186</t>
  </si>
  <si>
    <t>0603WAF2200T5E</t>
  </si>
  <si>
    <t>C22962</t>
  </si>
  <si>
    <t>0603WAF1200T5E</t>
  </si>
  <si>
    <t>C22787</t>
  </si>
  <si>
    <t>1206W4F100LT5E</t>
  </si>
  <si>
    <t>C25334</t>
  </si>
  <si>
    <t>0603WAF1203T5E</t>
  </si>
  <si>
    <t>C25808</t>
  </si>
  <si>
    <t>0603WAF1302T5E</t>
  </si>
  <si>
    <t>C22797</t>
  </si>
  <si>
    <t>91R</t>
  </si>
  <si>
    <t>EXISTING</t>
  </si>
  <si>
    <t>-</t>
  </si>
  <si>
    <t>SMD 0603 Green LED 2.3V 20mA</t>
  </si>
  <si>
    <t>SMD 0603 Red LED 2.4V 20mA</t>
  </si>
  <si>
    <t>SMD 1206 Inductor</t>
  </si>
  <si>
    <t>0_Passives:D_SOD-323</t>
  </si>
  <si>
    <t>1N4148WS</t>
  </si>
  <si>
    <t>C2128</t>
  </si>
  <si>
    <t>SMD SOD323 Switching Diode</t>
  </si>
  <si>
    <t>0_Passives:D_SOD-123</t>
  </si>
  <si>
    <t>SMD SOD123 Shottky Diode</t>
  </si>
  <si>
    <t>B5819W SL</t>
  </si>
  <si>
    <t>C8598</t>
  </si>
  <si>
    <t>SMD1210B075TF/24</t>
  </si>
  <si>
    <t>https://uk.farnell.com/yageo/smd1210b075tf-24/pptc-reset-fuse-smd-24vdc-1210/dp/4072044</t>
  </si>
  <si>
    <t>https://uk.farnell.com/multicomp-pro/mp008288/led-green-90mcd-577nm-0603/dp/3796319</t>
  </si>
  <si>
    <t>https://uk.farnell.com/multicomp-pro/mp008277/led-red-220mcd-626nm-0603/dp/3796306?CMP=e-email-sys-orderconfirmed-GLB-Product</t>
  </si>
  <si>
    <t>https://uk.farnell.com/multicomp-pro/mcsd54-120mu/inductor-12uh-1-4a-20/dp/1864116</t>
  </si>
  <si>
    <t>RJHSE-5381</t>
  </si>
  <si>
    <t>https://uk.farnell.com/amphenol-icc-commercial-products/rjhse-5381/connector-modular-jack/dp/1462758</t>
  </si>
  <si>
    <t>KSSG33J12Y</t>
  </si>
  <si>
    <t>https://uk.farnell.com/kingstate/kssg33j12y/magnetic-transducer-buzzer-80db/dp/4245943</t>
  </si>
  <si>
    <t>Magnetic Transducer, Buzzer, Continuous, 3 V, 110 mA, 80 dB, 4 kHz</t>
  </si>
  <si>
    <t>https://www.farnell.com/datasheets/3982658.pdf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</si>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</sst>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0" fillId="0" borderId="0" xfId="42" applyFont="1" applyAlignment="1">
      <alignment horizontal="left"/>
    </xf>
    <xf numFmtId="0" fontId="20" fillId="0" borderId="0" xfId="0" applyFont="1"/>
    <xf numFmtId="44" fontId="0" fillId="0" borderId="0" xfId="0" applyNumberFormat="1"/>
    <xf numFmtId="4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20" fillId="0" borderId="0" xfId="0" applyFont="1" applyAlignment="1">
      <alignment horizontal="left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numFmt numFmtId="0" formatCode="General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1A07DF-37F5-4113-960B-ADAE675F374D}" autoFormatId="16" applyNumberFormats="0" applyBorderFormats="0" applyFontFormats="0" applyPatternFormats="0" applyAlignmentFormats="0" applyWidthHeightFormats="0">
  <queryTableRefresh nextId="19">
    <queryTableFields count="15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  <queryTableDeletedFields count="1">
      <deletedField name="DN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B1AF871-0FC6-4B43-97C8-DFC4BA24087A}" autoFormatId="16" applyNumberFormats="0" applyBorderFormats="0" applyFontFormats="0" applyPatternFormats="0" applyAlignmentFormats="0" applyWidthHeightFormats="0">
  <queryTableRefresh nextId="17">
    <queryTableFields count="16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8" name="DNP" tableColumnId="8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716092E-60A4-4F3F-9A80-FB4F03128E5C}" autoFormatId="16" applyNumberFormats="0" applyBorderFormats="0" applyFontFormats="0" applyPatternFormats="0" applyAlignmentFormats="0" applyWidthHeightFormats="0">
  <queryTableRefresh nextId="17">
    <queryTableFields count="15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  <queryTableDeletedFields count="1"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AAF360-41FA-413C-A925-65B787791939}" name="COMET1_CCT_BOM" displayName="COMET1_CCT_BOM" ref="A1:O45" tableType="queryTable" totalsRowCount="1">
  <autoFilter ref="A1:O44" xr:uid="{03AAF360-41FA-413C-A925-65B7877919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65734FA-8FD5-43DD-A0DC-83636C7E3113}" uniqueName="1" name="#" totalsRowLabel="Total" queryTableFieldId="1"/>
    <tableColumn id="2" xr3:uid="{81E59521-B822-483E-9518-1BFC6F0E633D}" uniqueName="2" name="Reference" queryTableFieldId="2" dataDxfId="72" totalsRowDxfId="71"/>
    <tableColumn id="3" xr3:uid="{F1943A80-D74E-4842-82AF-1FD7D6052432}" uniqueName="3" name="Value" queryTableFieldId="3" dataDxfId="70" totalsRowDxfId="69"/>
    <tableColumn id="4" xr3:uid="{FCC40BD9-5079-4F8D-A748-674B3948046D}" uniqueName="4" name="Qty" totalsRowFunction="sum" queryTableFieldId="4" dataDxfId="68" totalsRowDxfId="67"/>
    <tableColumn id="5" xr3:uid="{47EC1B05-2CBA-4EE7-A2A4-6427E8454779}" uniqueName="5" name="Description" queryTableFieldId="5" dataDxfId="66"/>
    <tableColumn id="6" xr3:uid="{FD531788-4EE8-4E42-AA0C-8636ADB73F94}" uniqueName="6" name="Datasheet" queryTableFieldId="6" dataDxfId="65"/>
    <tableColumn id="7" xr3:uid="{E12783E0-5D68-4CD4-901E-D666C26B3972}" uniqueName="7" name="Footprint" queryTableFieldId="7" dataDxfId="64" totalsRowDxfId="63"/>
    <tableColumn id="9" xr3:uid="{B68E832F-4CC5-4F48-93E0-BBDA538B2D7C}" uniqueName="9" name="Supplier" queryTableFieldId="9" dataDxfId="62" totalsRowDxfId="61"/>
    <tableColumn id="10" xr3:uid="{644DC392-9522-4718-BC09-9F79E0370559}" uniqueName="10" name="MPN" queryTableFieldId="10" dataDxfId="60" totalsRowDxfId="59"/>
    <tableColumn id="11" xr3:uid="{E6FBD967-E31C-4A1D-90A3-B7A4AE80F1FF}" uniqueName="11" name="Part Number" queryTableFieldId="11" dataDxfId="58" totalsRowDxfId="57"/>
    <tableColumn id="12" xr3:uid="{3879B8DF-CE9B-4697-8811-B80547FD6C59}" uniqueName="12" name="Part Price" queryTableFieldId="12" dataDxfId="56" totalsRowDxfId="55"/>
    <tableColumn id="13" xr3:uid="{7EC90188-6370-4428-8CCC-EF242279EDBB}" uniqueName="13" name="Order Qty" queryTableFieldId="13"/>
    <tableColumn id="14" xr3:uid="{6BA5D9FC-3F69-4ECB-ACCF-F304455758E3}" uniqueName="14" name="Order Price" totalsRowFunction="sum" queryTableFieldId="14" dataDxfId="54" totalsRowDxfId="53"/>
    <tableColumn id="15" xr3:uid="{5FFC3E96-A817-4289-9EA3-6DEB2BE82793}" uniqueName="15" name="Part Link" queryTableFieldId="15" dataDxfId="52"/>
    <tableColumn id="16" xr3:uid="{13B069DD-A39F-4DD4-931B-F2654477F4E5}" uniqueName="16" name="Column1" totalsRowFunction="count" queryTableFieldId="16" dataDxfId="51" totalsRowDxfId="50"/>
  </tableColumns>
  <tableStyleInfo name="TableStyleMedium1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7E5D6-0D99-4872-9020-12B1854999F5}" name="BOM_JLCPCB" displayName="BOM_JLCPCB" ref="A1:P24" tableType="queryTable" totalsRowShown="0">
  <autoFilter ref="A1:P24" xr:uid="{C267E5D6-0D99-4872-9020-12B1854999F5}"/>
  <tableColumns count="16">
    <tableColumn id="1" xr3:uid="{5975EC8A-F5CD-411F-A56E-75CA53DBBEC3}" uniqueName="1" name="#" queryTableFieldId="1"/>
    <tableColumn id="2" xr3:uid="{88C462A2-49D0-4310-A200-59CF87CE48EC}" uniqueName="2" name="Reference" queryTableFieldId="2" dataDxfId="49"/>
    <tableColumn id="3" xr3:uid="{0F107281-D402-496E-92A7-D1FF886C363F}" uniqueName="3" name="Value" queryTableFieldId="3" dataDxfId="48"/>
    <tableColumn id="4" xr3:uid="{3659C335-A038-44F6-8E36-BB1B0141F1E4}" uniqueName="4" name="Qty" queryTableFieldId="4"/>
    <tableColumn id="5" xr3:uid="{9125589B-B5E2-465B-B260-D1E7CE1E9D93}" uniqueName="5" name="Description" queryTableFieldId="5" dataDxfId="47"/>
    <tableColumn id="6" xr3:uid="{EF8652E5-F050-4BA9-AA7E-FECE9D4196EB}" uniqueName="6" name="Datasheet" queryTableFieldId="6" dataDxfId="46"/>
    <tableColumn id="7" xr3:uid="{38300387-34E9-4BD3-ACBB-09764C986DDB}" uniqueName="7" name="Footprint" queryTableFieldId="7" dataDxfId="45"/>
    <tableColumn id="8" xr3:uid="{D8820D67-053E-48F5-9E6F-EA89F406690F}" uniqueName="8" name="DNP" queryTableFieldId="8" dataDxfId="44"/>
    <tableColumn id="9" xr3:uid="{AA716D1A-F02F-4AAC-82ED-3F74FD34C690}" uniqueName="9" name="Supplier" queryTableFieldId="9" dataDxfId="43"/>
    <tableColumn id="10" xr3:uid="{9E3D40EF-0056-4E5E-AC4D-EBC080DA1A9B}" uniqueName="10" name="MPN" queryTableFieldId="10" dataDxfId="42"/>
    <tableColumn id="11" xr3:uid="{17BB33B7-44D0-4DD1-9650-97D7E21B55B1}" uniqueName="11" name="Part Number" queryTableFieldId="11"/>
    <tableColumn id="12" xr3:uid="{8CBDA907-C1D3-4F09-9058-B50DD467D209}" uniqueName="12" name="Part Price" queryTableFieldId="12"/>
    <tableColumn id="13" xr3:uid="{6CCFDF83-E55D-4E57-A4DD-A13A3FC21D35}" uniqueName="13" name="Order Qty" queryTableFieldId="13"/>
    <tableColumn id="14" xr3:uid="{0FB3F9BD-A1F9-4945-ACB0-5424644E6553}" uniqueName="14" name="Order Price" queryTableFieldId="14"/>
    <tableColumn id="15" xr3:uid="{B551A976-01E2-4BD2-A9A5-34A56E1FEE9C}" uniqueName="15" name="Part Link" queryTableFieldId="15" dataDxfId="41"/>
    <tableColumn id="16" xr3:uid="{D250BAB4-A923-4EC3-B18D-4EE277FFE4FC}" uniqueName="16" name="Column1" queryTableFieldId="1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33563E-CE5F-49B7-9625-3FBA5B9A1C9A}" name="BOM_FARNELL" displayName="BOM_FARNELL" ref="A1:O20" tableType="queryTable" totalsRowCount="1">
  <autoFilter ref="A1:O19" xr:uid="{CC33563E-CE5F-49B7-9625-3FBA5B9A1C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3C51EB4-FBED-44F1-A08B-4B1C23E99AB8}" uniqueName="1" name="#" totalsRowLabel="Total" queryTableFieldId="1"/>
    <tableColumn id="2" xr3:uid="{6279AABA-D1D3-4BA0-813B-BB27E41342D3}" uniqueName="2" name="Reference" queryTableFieldId="2" dataDxfId="40"/>
    <tableColumn id="3" xr3:uid="{9DD82A5F-7288-449A-83CB-6854E7D87960}" uniqueName="3" name="Value" queryTableFieldId="3" dataDxfId="39"/>
    <tableColumn id="4" xr3:uid="{16BB078E-A0F6-4BAC-B519-9256E71B01CC}" uniqueName="4" name="Qty" queryTableFieldId="4"/>
    <tableColumn id="5" xr3:uid="{0B0D9147-FD61-4AC7-91C9-0122850DD905}" uniqueName="5" name="Description" queryTableFieldId="5" dataDxfId="38"/>
    <tableColumn id="6" xr3:uid="{251E9D3B-0282-41E7-A79A-2599C03DE5D8}" uniqueName="6" name="Datasheet" queryTableFieldId="6" dataDxfId="37"/>
    <tableColumn id="7" xr3:uid="{A99BD151-D3C7-478C-ADF6-2A896A8A9559}" uniqueName="7" name="Footprint" queryTableFieldId="7" dataDxfId="36"/>
    <tableColumn id="9" xr3:uid="{C7DFBEB3-08D5-409A-A4C3-56AA4D72C8BC}" uniqueName="9" name="Supplier" queryTableFieldId="9" dataDxfId="35"/>
    <tableColumn id="10" xr3:uid="{154773EE-A165-4D0E-8F96-5D9D9C044511}" uniqueName="10" name="MPN" queryTableFieldId="10" dataDxfId="34"/>
    <tableColumn id="11" xr3:uid="{43C4A8FC-7F2C-4C3D-9622-AA06FD075287}" uniqueName="11" name="Part Number" queryTableFieldId="11"/>
    <tableColumn id="12" xr3:uid="{C91C5B09-1B70-4FD3-BDC1-BA5B2F19CC16}" uniqueName="12" name="Part Price" queryTableFieldId="12"/>
    <tableColumn id="13" xr3:uid="{486A19AF-ED8D-449C-B04A-4F2F1C2D5FFF}" uniqueName="13" name="Order Qty" queryTableFieldId="13"/>
    <tableColumn id="14" xr3:uid="{4C6F70AF-E42B-4B93-8F8E-147CDBFE89B6}" uniqueName="14" name="Order Price" totalsRowFunction="sum" queryTableFieldId="14"/>
    <tableColumn id="15" xr3:uid="{A8DE4562-19C7-4031-A5DA-3DE019FD1C27}" uniqueName="15" name="Part Link" queryTableFieldId="15" dataDxfId="33"/>
    <tableColumn id="16" xr3:uid="{4DCF9E2E-711B-4CC0-AEE6-06F7EE159AD7}" uniqueName="16" name="Column1" totalsRowFunction="count" queryTableFieldId="1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CBD82-9483-4520-9B6F-7E24C53E7B8D}" name="Table1" displayName="Table1" ref="A1:P45" totalsRowCount="1" dataDxfId="32">
  <autoFilter ref="A1:P44" xr:uid="{D57CBD82-9483-4520-9B6F-7E24C53E7B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3F62E64-A5E1-4259-980F-559BEA06FACC}" name="#" totalsRowLabel="Total" dataDxfId="31" totalsRowDxfId="30"/>
    <tableColumn id="2" xr3:uid="{726C916D-71D3-43C3-B694-5C1E190FD938}" name="Reference" dataDxfId="29" totalsRowDxfId="28"/>
    <tableColumn id="3" xr3:uid="{CFF74AEF-D0BE-41D2-8896-D615AA62FE3B}" name="Value" dataDxfId="27" totalsRowDxfId="26"/>
    <tableColumn id="14" xr3:uid="{476E500D-36EB-4EE0-BC8D-390B578AEB40}" name="Qty" totalsRowFunction="sum" dataDxfId="25" totalsRowDxfId="24"/>
    <tableColumn id="4" xr3:uid="{D63EA66A-D32C-4323-B040-B2232867B3F8}" name="Description" dataDxfId="23" totalsRowDxfId="22"/>
    <tableColumn id="5" xr3:uid="{0C1582E2-83D2-4577-87F7-D0A7EEA5CF7E}" name="Datasheet" dataDxfId="21" totalsRowDxfId="20"/>
    <tableColumn id="6" xr3:uid="{805A40B5-3B0E-4D19-BEF6-9E3AE9C4C6C1}" name="Footprint" dataDxfId="19" totalsRowDxfId="18"/>
    <tableColumn id="7" xr3:uid="{BACCC1D5-88BB-47F0-8321-6EF3030AD046}" name="DNP" dataDxfId="17" totalsRowDxfId="16"/>
    <tableColumn id="8" xr3:uid="{3C1F99E9-A4A4-476B-B48B-BC4F3F553474}" name="Supplier" dataDxfId="15" totalsRowDxfId="14"/>
    <tableColumn id="9" xr3:uid="{B1557161-78D6-4616-9C35-1B2F0A8B6141}" name="MPN" dataDxfId="13" totalsRowDxfId="12"/>
    <tableColumn id="10" xr3:uid="{C7D18CCE-6E2E-4426-85C7-8D68347DEB51}" name="Part Number" dataDxfId="11" totalsRowDxfId="10"/>
    <tableColumn id="11" xr3:uid="{07A8ECE0-7491-4579-A0F0-D527545BD028}" name="Part Price" dataDxfId="9" totalsRowDxfId="8"/>
    <tableColumn id="12" xr3:uid="{C1AEA1D2-49CD-499F-9A61-52E36990D7B9}" name="Order Qty" dataDxfId="7" totalsRowDxfId="6"/>
    <tableColumn id="13" xr3:uid="{EC0129F8-E058-43B0-9F5E-4F12C4BBC717}" name="Order Price" totalsRowFunction="sum" dataDxfId="5" totalsRowDxfId="4">
      <calculatedColumnFormula>Table1[[#This Row],[Part Price]]*Table1[[#This Row],[Order Qty]]</calculatedColumnFormula>
    </tableColumn>
    <tableColumn id="16" xr3:uid="{2097DF51-0D46-4074-B80D-A0AA20F6FBF5}" name="Part Link" dataDxfId="3" totalsRowDxfId="2"/>
    <tableColumn id="17" xr3:uid="{A7A966B1-09C2-4556-8D16-11F11D607D43}" name="Column1" totalsRowFunction="count" dataDxfId="1" totalsRowDxfId="0"/>
  </tableColumns>
  <tableStyleInfo name="TableStyleMedium1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6309-DC52-4952-95AC-8F187D44467D}">
  <dimension ref="A1:O45"/>
  <sheetViews>
    <sheetView tabSelected="1" workbookViewId="0">
      <selection activeCell="E53" sqref="E53"/>
    </sheetView>
  </sheetViews>
  <sheetFormatPr defaultRowHeight="14.4" x14ac:dyDescent="0.3"/>
  <cols>
    <col min="1" max="1" width="5.44140625" bestFit="1" customWidth="1"/>
    <col min="2" max="2" width="21" style="10" bestFit="1" customWidth="1"/>
    <col min="3" max="3" width="17.5546875" style="7" bestFit="1" customWidth="1"/>
    <col min="4" max="4" width="8.6640625" style="7" bestFit="1" customWidth="1"/>
    <col min="5" max="5" width="80.5546875" bestFit="1" customWidth="1"/>
    <col min="6" max="6" width="81.109375" bestFit="1" customWidth="1"/>
    <col min="7" max="7" width="40.33203125" style="1" bestFit="1" customWidth="1"/>
    <col min="8" max="8" width="13.109375" style="7" bestFit="1" customWidth="1"/>
    <col min="9" max="9" width="23.5546875" style="1" bestFit="1" customWidth="1"/>
    <col min="10" max="10" width="14.5546875" style="1" bestFit="1" customWidth="1"/>
    <col min="11" max="11" width="13.33203125" style="5" bestFit="1" customWidth="1"/>
    <col min="12" max="12" width="12" bestFit="1" customWidth="1"/>
    <col min="13" max="13" width="14.88671875" style="5" bestFit="1" customWidth="1"/>
    <col min="14" max="14" width="81.109375" bestFit="1" customWidth="1"/>
    <col min="15" max="15" width="11.44140625" style="4" bestFit="1" customWidth="1"/>
    <col min="16" max="16" width="11.44140625" customWidth="1"/>
  </cols>
  <sheetData>
    <row r="1" spans="1:15" x14ac:dyDescent="0.3">
      <c r="A1" t="s">
        <v>0</v>
      </c>
      <c r="B1" s="10" t="s">
        <v>1</v>
      </c>
      <c r="C1" s="7" t="s">
        <v>2</v>
      </c>
      <c r="D1" s="7" t="s">
        <v>160</v>
      </c>
      <c r="E1" t="s">
        <v>3</v>
      </c>
      <c r="F1" t="s">
        <v>4</v>
      </c>
      <c r="G1" s="1" t="s">
        <v>5</v>
      </c>
      <c r="H1" s="7" t="s">
        <v>158</v>
      </c>
      <c r="I1" s="1" t="s">
        <v>7</v>
      </c>
      <c r="J1" s="1" t="s">
        <v>159</v>
      </c>
      <c r="K1" s="5" t="s">
        <v>162</v>
      </c>
      <c r="L1" t="s">
        <v>163</v>
      </c>
      <c r="M1" s="5" t="s">
        <v>164</v>
      </c>
      <c r="N1" t="s">
        <v>161</v>
      </c>
      <c r="O1" s="4" t="s">
        <v>147</v>
      </c>
    </row>
    <row r="2" spans="1:15" x14ac:dyDescent="0.3">
      <c r="A2">
        <v>1</v>
      </c>
      <c r="B2" s="10" t="s">
        <v>8</v>
      </c>
      <c r="C2" s="7" t="s">
        <v>9</v>
      </c>
      <c r="D2" s="7">
        <v>1</v>
      </c>
      <c r="E2" t="s">
        <v>246</v>
      </c>
      <c r="F2" t="s">
        <v>247</v>
      </c>
      <c r="G2" s="1" t="s">
        <v>10</v>
      </c>
      <c r="H2" s="7" t="s">
        <v>165</v>
      </c>
      <c r="I2" s="1" t="s">
        <v>244</v>
      </c>
      <c r="J2" s="1">
        <v>4245943</v>
      </c>
      <c r="K2" s="5">
        <v>1.06</v>
      </c>
      <c r="L2">
        <v>5</v>
      </c>
      <c r="M2" s="5">
        <v>5.3</v>
      </c>
      <c r="N2" t="s">
        <v>245</v>
      </c>
      <c r="O2" s="4" t="s">
        <v>9</v>
      </c>
    </row>
    <row r="3" spans="1:15" x14ac:dyDescent="0.3">
      <c r="A3">
        <v>2</v>
      </c>
      <c r="B3" s="10" t="s">
        <v>171</v>
      </c>
      <c r="C3" s="7" t="s">
        <v>11</v>
      </c>
      <c r="D3" s="7">
        <v>4</v>
      </c>
      <c r="E3" t="s">
        <v>12</v>
      </c>
      <c r="F3" t="s">
        <v>9</v>
      </c>
      <c r="G3" s="1" t="s">
        <v>13</v>
      </c>
      <c r="H3" s="7" t="s">
        <v>166</v>
      </c>
      <c r="I3" s="1" t="s">
        <v>189</v>
      </c>
      <c r="J3" s="1" t="s">
        <v>190</v>
      </c>
      <c r="K3" s="5">
        <v>3.5000000000000001E-3</v>
      </c>
      <c r="L3">
        <v>10</v>
      </c>
      <c r="M3" s="5">
        <v>3.5000000000000003E-2</v>
      </c>
      <c r="O3" s="4" t="s">
        <v>9</v>
      </c>
    </row>
    <row r="4" spans="1:15" ht="28.8" x14ac:dyDescent="0.3">
      <c r="A4">
        <v>3</v>
      </c>
      <c r="B4" s="10" t="s">
        <v>170</v>
      </c>
      <c r="C4" s="7" t="s">
        <v>14</v>
      </c>
      <c r="D4" s="7">
        <v>11</v>
      </c>
      <c r="E4" t="s">
        <v>12</v>
      </c>
      <c r="F4" t="s">
        <v>9</v>
      </c>
      <c r="G4" s="1" t="s">
        <v>15</v>
      </c>
      <c r="H4" s="7" t="s">
        <v>166</v>
      </c>
      <c r="I4" s="1" t="s">
        <v>195</v>
      </c>
      <c r="J4" s="1" t="s">
        <v>196</v>
      </c>
      <c r="K4" s="5">
        <v>8.9999999999999998E-4</v>
      </c>
      <c r="L4">
        <v>20</v>
      </c>
      <c r="M4" s="5">
        <v>1.7999999999999999E-2</v>
      </c>
      <c r="O4" s="4" t="s">
        <v>9</v>
      </c>
    </row>
    <row r="5" spans="1:15" x14ac:dyDescent="0.3">
      <c r="A5">
        <v>4</v>
      </c>
      <c r="B5" s="10" t="s">
        <v>172</v>
      </c>
      <c r="C5" s="7" t="s">
        <v>16</v>
      </c>
      <c r="D5" s="7">
        <v>2</v>
      </c>
      <c r="E5" t="s">
        <v>12</v>
      </c>
      <c r="F5" t="s">
        <v>9</v>
      </c>
      <c r="G5" s="1" t="s">
        <v>15</v>
      </c>
      <c r="H5" s="7" t="s">
        <v>166</v>
      </c>
      <c r="I5" s="1" t="s">
        <v>193</v>
      </c>
      <c r="J5" s="1" t="s">
        <v>194</v>
      </c>
      <c r="K5" s="5">
        <v>6.9999999999999999E-4</v>
      </c>
      <c r="L5">
        <v>10</v>
      </c>
      <c r="M5" s="5">
        <v>7.0000000000000001E-3</v>
      </c>
      <c r="O5" s="4" t="s">
        <v>9</v>
      </c>
    </row>
    <row r="6" spans="1:15" ht="28.8" x14ac:dyDescent="0.3">
      <c r="A6">
        <v>5</v>
      </c>
      <c r="B6" s="10" t="s">
        <v>173</v>
      </c>
      <c r="C6" s="7" t="s">
        <v>14</v>
      </c>
      <c r="D6" s="7">
        <v>8</v>
      </c>
      <c r="E6" t="s">
        <v>17</v>
      </c>
      <c r="F6" t="s">
        <v>9</v>
      </c>
      <c r="G6" s="1" t="s">
        <v>18</v>
      </c>
      <c r="H6" s="7" t="s">
        <v>166</v>
      </c>
      <c r="I6" s="1" t="s">
        <v>191</v>
      </c>
      <c r="J6" s="1" t="s">
        <v>192</v>
      </c>
      <c r="K6" s="5">
        <v>2E-3</v>
      </c>
      <c r="L6">
        <v>10</v>
      </c>
      <c r="M6" s="5">
        <v>0.02</v>
      </c>
      <c r="O6" s="4" t="s">
        <v>9</v>
      </c>
    </row>
    <row r="7" spans="1:15" x14ac:dyDescent="0.3">
      <c r="A7">
        <v>6</v>
      </c>
      <c r="B7" s="10" t="s">
        <v>174</v>
      </c>
      <c r="C7" s="7" t="s">
        <v>19</v>
      </c>
      <c r="D7" s="7">
        <v>4</v>
      </c>
      <c r="E7" t="s">
        <v>17</v>
      </c>
      <c r="F7" t="s">
        <v>9</v>
      </c>
      <c r="G7" s="1" t="s">
        <v>18</v>
      </c>
      <c r="H7" s="7" t="s">
        <v>166</v>
      </c>
      <c r="I7" s="1" t="s">
        <v>197</v>
      </c>
      <c r="J7" s="1" t="s">
        <v>198</v>
      </c>
      <c r="K7" s="5">
        <v>2E-3</v>
      </c>
      <c r="L7">
        <v>10</v>
      </c>
      <c r="M7" s="5">
        <v>0.02</v>
      </c>
      <c r="O7" s="4" t="s">
        <v>9</v>
      </c>
    </row>
    <row r="8" spans="1:15" x14ac:dyDescent="0.3">
      <c r="A8">
        <v>7</v>
      </c>
      <c r="B8" s="10" t="s">
        <v>175</v>
      </c>
      <c r="C8" s="7" t="s">
        <v>11</v>
      </c>
      <c r="D8" s="7">
        <v>2</v>
      </c>
      <c r="E8" t="s">
        <v>17</v>
      </c>
      <c r="F8" t="s">
        <v>9</v>
      </c>
      <c r="G8" s="1" t="s">
        <v>18</v>
      </c>
      <c r="H8" s="7" t="s">
        <v>166</v>
      </c>
      <c r="I8" s="1" t="s">
        <v>199</v>
      </c>
      <c r="J8" s="1" t="s">
        <v>200</v>
      </c>
      <c r="K8" s="5">
        <v>7.0000000000000001E-3</v>
      </c>
      <c r="L8">
        <v>10</v>
      </c>
      <c r="M8" s="5">
        <v>7.0000000000000007E-2</v>
      </c>
      <c r="O8" s="4" t="s">
        <v>9</v>
      </c>
    </row>
    <row r="9" spans="1:15" x14ac:dyDescent="0.3">
      <c r="A9">
        <v>8</v>
      </c>
      <c r="B9" s="10" t="s">
        <v>20</v>
      </c>
      <c r="C9" s="7" t="s">
        <v>9</v>
      </c>
      <c r="D9" s="7">
        <v>1</v>
      </c>
      <c r="E9" t="s">
        <v>232</v>
      </c>
      <c r="F9" t="s">
        <v>9</v>
      </c>
      <c r="G9" s="1" t="s">
        <v>229</v>
      </c>
      <c r="H9" s="7" t="s">
        <v>166</v>
      </c>
      <c r="I9" s="1" t="s">
        <v>230</v>
      </c>
      <c r="J9" s="1" t="s">
        <v>231</v>
      </c>
      <c r="K9" s="5">
        <v>6.4000000000000003E-3</v>
      </c>
      <c r="L9">
        <v>1</v>
      </c>
      <c r="M9" s="5">
        <v>6.4000000000000003E-3</v>
      </c>
      <c r="O9" s="4" t="s">
        <v>9</v>
      </c>
    </row>
    <row r="10" spans="1:15" x14ac:dyDescent="0.3">
      <c r="A10">
        <v>9</v>
      </c>
      <c r="B10" s="10" t="s">
        <v>21</v>
      </c>
      <c r="C10" s="7" t="s">
        <v>22</v>
      </c>
      <c r="D10" s="7">
        <v>1</v>
      </c>
      <c r="E10" t="s">
        <v>23</v>
      </c>
      <c r="F10" t="s">
        <v>24</v>
      </c>
      <c r="G10" s="1" t="s">
        <v>25</v>
      </c>
      <c r="H10" s="7" t="s">
        <v>165</v>
      </c>
      <c r="I10" s="1" t="s">
        <v>22</v>
      </c>
      <c r="J10" s="1">
        <v>1269406</v>
      </c>
      <c r="K10" s="5">
        <v>1.84</v>
      </c>
      <c r="L10">
        <v>1</v>
      </c>
      <c r="M10" s="5">
        <v>1.84</v>
      </c>
      <c r="N10" t="s">
        <v>26</v>
      </c>
      <c r="O10" s="4" t="s">
        <v>9</v>
      </c>
    </row>
    <row r="11" spans="1:15" x14ac:dyDescent="0.3">
      <c r="A11">
        <v>10</v>
      </c>
      <c r="B11" s="10" t="s">
        <v>27</v>
      </c>
      <c r="C11" s="7" t="s">
        <v>9</v>
      </c>
      <c r="D11" s="7">
        <v>1</v>
      </c>
      <c r="E11" t="s">
        <v>234</v>
      </c>
      <c r="G11" s="1" t="s">
        <v>233</v>
      </c>
      <c r="H11" s="7" t="s">
        <v>166</v>
      </c>
      <c r="I11" s="1" t="s">
        <v>235</v>
      </c>
      <c r="J11" s="1" t="s">
        <v>236</v>
      </c>
      <c r="K11" s="5">
        <v>1.7000000000000001E-2</v>
      </c>
      <c r="L11">
        <v>1</v>
      </c>
      <c r="M11" s="5">
        <v>1.7000000000000001E-2</v>
      </c>
      <c r="O11" s="4" t="s">
        <v>9</v>
      </c>
    </row>
    <row r="12" spans="1:15" x14ac:dyDescent="0.3">
      <c r="A12">
        <v>11</v>
      </c>
      <c r="B12" s="10" t="s">
        <v>28</v>
      </c>
      <c r="C12" s="7" t="s">
        <v>29</v>
      </c>
      <c r="D12" s="7">
        <v>1</v>
      </c>
      <c r="E12" t="s">
        <v>30</v>
      </c>
      <c r="F12" t="s">
        <v>9</v>
      </c>
      <c r="G12" s="1" t="s">
        <v>31</v>
      </c>
      <c r="H12" s="7" t="s">
        <v>165</v>
      </c>
      <c r="I12" s="1" t="s">
        <v>237</v>
      </c>
      <c r="J12" s="1">
        <v>4072044</v>
      </c>
      <c r="K12" s="5">
        <v>0.12</v>
      </c>
      <c r="L12">
        <v>5</v>
      </c>
      <c r="M12" s="5">
        <v>0.6</v>
      </c>
      <c r="N12" t="s">
        <v>238</v>
      </c>
      <c r="O12" s="4" t="s">
        <v>9</v>
      </c>
    </row>
    <row r="13" spans="1:15" x14ac:dyDescent="0.3">
      <c r="A13">
        <v>12</v>
      </c>
      <c r="B13" s="10" t="s">
        <v>177</v>
      </c>
      <c r="C13" s="7" t="s">
        <v>32</v>
      </c>
      <c r="D13" s="7">
        <v>2</v>
      </c>
      <c r="E13" t="s">
        <v>33</v>
      </c>
      <c r="F13" t="s">
        <v>34</v>
      </c>
      <c r="G13" s="1" t="s">
        <v>35</v>
      </c>
      <c r="H13" s="7" t="s">
        <v>165</v>
      </c>
      <c r="I13" s="1" t="s">
        <v>32</v>
      </c>
      <c r="J13" s="1">
        <v>1688320</v>
      </c>
      <c r="K13" s="5">
        <v>1.4</v>
      </c>
      <c r="L13">
        <v>2</v>
      </c>
      <c r="M13" s="5">
        <v>2.8</v>
      </c>
      <c r="N13" t="s">
        <v>157</v>
      </c>
      <c r="O13" s="4" t="s">
        <v>9</v>
      </c>
    </row>
    <row r="14" spans="1:15" x14ac:dyDescent="0.3">
      <c r="A14">
        <v>13</v>
      </c>
      <c r="B14" s="10" t="s">
        <v>36</v>
      </c>
      <c r="C14" s="7" t="s">
        <v>37</v>
      </c>
      <c r="D14" s="7">
        <v>1</v>
      </c>
      <c r="E14" t="s">
        <v>38</v>
      </c>
      <c r="G14" s="1" t="s">
        <v>39</v>
      </c>
      <c r="H14" s="7" t="s">
        <v>165</v>
      </c>
      <c r="I14" s="1" t="s">
        <v>155</v>
      </c>
      <c r="J14" s="1">
        <v>2614940</v>
      </c>
      <c r="K14" s="5">
        <v>1.87</v>
      </c>
      <c r="L14">
        <v>1</v>
      </c>
      <c r="M14" s="5">
        <v>1.87</v>
      </c>
      <c r="N14" t="s">
        <v>156</v>
      </c>
      <c r="O14" s="4" t="s">
        <v>9</v>
      </c>
    </row>
    <row r="15" spans="1:15" x14ac:dyDescent="0.3">
      <c r="A15">
        <v>14</v>
      </c>
      <c r="B15" s="10" t="s">
        <v>40</v>
      </c>
      <c r="C15" s="7" t="s">
        <v>41</v>
      </c>
      <c r="D15" s="7">
        <v>1</v>
      </c>
      <c r="E15" t="s">
        <v>42</v>
      </c>
      <c r="F15" t="s">
        <v>43</v>
      </c>
      <c r="G15" s="1" t="s">
        <v>44</v>
      </c>
      <c r="H15" s="7" t="s">
        <v>165</v>
      </c>
      <c r="I15" s="1" t="s">
        <v>45</v>
      </c>
      <c r="J15" s="1">
        <v>2924867</v>
      </c>
      <c r="K15" s="5">
        <v>1.01</v>
      </c>
      <c r="L15">
        <v>1</v>
      </c>
      <c r="M15" s="5">
        <v>1.01</v>
      </c>
      <c r="N15" t="s">
        <v>46</v>
      </c>
      <c r="O15" s="4" t="s">
        <v>9</v>
      </c>
    </row>
    <row r="16" spans="1:15" x14ac:dyDescent="0.3">
      <c r="A16">
        <v>15</v>
      </c>
      <c r="B16" s="10" t="s">
        <v>47</v>
      </c>
      <c r="C16" s="7" t="s">
        <v>48</v>
      </c>
      <c r="D16" s="7">
        <v>1</v>
      </c>
      <c r="E16" t="s">
        <v>49</v>
      </c>
      <c r="F16" t="s">
        <v>153</v>
      </c>
      <c r="G16" s="1" t="s">
        <v>50</v>
      </c>
      <c r="H16" s="7" t="s">
        <v>165</v>
      </c>
      <c r="I16" s="1" t="s">
        <v>242</v>
      </c>
      <c r="J16" s="1">
        <v>1462758</v>
      </c>
      <c r="K16" s="5">
        <v>1.54</v>
      </c>
      <c r="L16">
        <v>1</v>
      </c>
      <c r="M16" s="5">
        <v>1.54</v>
      </c>
      <c r="N16" t="s">
        <v>243</v>
      </c>
      <c r="O16" s="4" t="s">
        <v>9</v>
      </c>
    </row>
    <row r="17" spans="1:15" x14ac:dyDescent="0.3">
      <c r="A17">
        <v>16</v>
      </c>
      <c r="B17" s="10" t="s">
        <v>178</v>
      </c>
      <c r="C17" s="7" t="s">
        <v>51</v>
      </c>
      <c r="D17" s="7">
        <v>6</v>
      </c>
      <c r="E17" t="s">
        <v>52</v>
      </c>
      <c r="F17" t="s">
        <v>53</v>
      </c>
      <c r="G17" s="1" t="s">
        <v>54</v>
      </c>
      <c r="H17" s="7" t="s">
        <v>165</v>
      </c>
      <c r="I17" s="1" t="s">
        <v>55</v>
      </c>
      <c r="J17" s="1">
        <v>3103081</v>
      </c>
      <c r="K17" s="5">
        <v>0.95</v>
      </c>
      <c r="L17">
        <v>6</v>
      </c>
      <c r="M17" s="5">
        <v>5.7</v>
      </c>
      <c r="N17" t="s">
        <v>56</v>
      </c>
      <c r="O17" s="4" t="s">
        <v>9</v>
      </c>
    </row>
    <row r="18" spans="1:15" x14ac:dyDescent="0.3">
      <c r="A18">
        <v>17</v>
      </c>
      <c r="B18" s="10" t="s">
        <v>57</v>
      </c>
      <c r="C18" s="7" t="s">
        <v>148</v>
      </c>
      <c r="D18" s="7">
        <v>1</v>
      </c>
      <c r="E18" t="s">
        <v>58</v>
      </c>
      <c r="F18" t="s">
        <v>9</v>
      </c>
      <c r="G18" s="1" t="s">
        <v>59</v>
      </c>
      <c r="H18" s="7" t="s">
        <v>166</v>
      </c>
      <c r="I18" s="1" t="s">
        <v>151</v>
      </c>
      <c r="J18" s="1">
        <v>4568814</v>
      </c>
      <c r="K18" s="5">
        <v>1.4</v>
      </c>
      <c r="L18">
        <v>1</v>
      </c>
      <c r="M18" s="5">
        <v>1.4</v>
      </c>
      <c r="N18" t="s">
        <v>152</v>
      </c>
      <c r="O18" s="4" t="s">
        <v>9</v>
      </c>
    </row>
    <row r="19" spans="1:15" x14ac:dyDescent="0.3">
      <c r="A19">
        <v>18</v>
      </c>
      <c r="B19" s="10" t="s">
        <v>60</v>
      </c>
      <c r="C19" s="7" t="s">
        <v>61</v>
      </c>
      <c r="D19" s="7">
        <v>1</v>
      </c>
      <c r="E19" t="s">
        <v>228</v>
      </c>
      <c r="G19" s="1" t="s">
        <v>62</v>
      </c>
      <c r="H19" s="7" t="s">
        <v>165</v>
      </c>
      <c r="I19" s="1" t="s">
        <v>188</v>
      </c>
      <c r="J19" s="1">
        <v>1864116</v>
      </c>
      <c r="K19" s="5">
        <v>0.25</v>
      </c>
      <c r="L19">
        <v>1</v>
      </c>
      <c r="M19" s="5">
        <v>0.25</v>
      </c>
      <c r="N19" t="s">
        <v>241</v>
      </c>
      <c r="O19" s="4" t="s">
        <v>9</v>
      </c>
    </row>
    <row r="20" spans="1:15" x14ac:dyDescent="0.3">
      <c r="A20">
        <v>19</v>
      </c>
      <c r="B20" s="10" t="s">
        <v>63</v>
      </c>
      <c r="C20" s="7" t="s">
        <v>64</v>
      </c>
      <c r="D20" s="7">
        <v>1</v>
      </c>
      <c r="E20" t="s">
        <v>226</v>
      </c>
      <c r="F20" t="s">
        <v>9</v>
      </c>
      <c r="G20" s="1" t="s">
        <v>65</v>
      </c>
      <c r="H20" s="7" t="s">
        <v>165</v>
      </c>
      <c r="I20" s="1" t="s">
        <v>187</v>
      </c>
      <c r="J20" s="1">
        <v>3796319</v>
      </c>
      <c r="K20" s="5">
        <v>0.13</v>
      </c>
      <c r="L20">
        <v>5</v>
      </c>
      <c r="M20" s="5">
        <v>0.65</v>
      </c>
      <c r="N20" t="s">
        <v>239</v>
      </c>
      <c r="O20" s="4" t="s">
        <v>9</v>
      </c>
    </row>
    <row r="21" spans="1:15" x14ac:dyDescent="0.3">
      <c r="A21">
        <v>20</v>
      </c>
      <c r="B21" s="10" t="s">
        <v>66</v>
      </c>
      <c r="C21" s="7" t="s">
        <v>67</v>
      </c>
      <c r="D21" s="7">
        <v>1</v>
      </c>
      <c r="E21" t="s">
        <v>227</v>
      </c>
      <c r="F21" t="s">
        <v>9</v>
      </c>
      <c r="G21" s="1" t="s">
        <v>65</v>
      </c>
      <c r="H21" s="7" t="s">
        <v>224</v>
      </c>
      <c r="I21" s="1" t="s">
        <v>186</v>
      </c>
      <c r="J21" s="1">
        <v>3796306</v>
      </c>
      <c r="K21" s="5">
        <v>0</v>
      </c>
      <c r="L21">
        <v>0</v>
      </c>
      <c r="M21" s="5">
        <v>0</v>
      </c>
      <c r="N21" t="s">
        <v>240</v>
      </c>
      <c r="O21" s="4" t="s">
        <v>9</v>
      </c>
    </row>
    <row r="22" spans="1:15" x14ac:dyDescent="0.3">
      <c r="A22">
        <v>21</v>
      </c>
      <c r="B22" s="10" t="s">
        <v>179</v>
      </c>
      <c r="C22" s="7" t="s">
        <v>68</v>
      </c>
      <c r="D22" s="7">
        <v>2</v>
      </c>
      <c r="E22" t="s">
        <v>69</v>
      </c>
      <c r="F22" t="s">
        <v>9</v>
      </c>
      <c r="G22" s="1" t="s">
        <v>70</v>
      </c>
      <c r="H22" s="7" t="s">
        <v>166</v>
      </c>
      <c r="I22" s="1" t="s">
        <v>201</v>
      </c>
      <c r="J22" s="1" t="s">
        <v>202</v>
      </c>
      <c r="K22" s="5">
        <v>8.0000000000000004E-4</v>
      </c>
      <c r="L22">
        <v>10</v>
      </c>
      <c r="M22" s="5">
        <v>8.0000000000000002E-3</v>
      </c>
      <c r="O22" s="4" t="s">
        <v>9</v>
      </c>
    </row>
    <row r="23" spans="1:15" x14ac:dyDescent="0.3">
      <c r="A23">
        <v>22</v>
      </c>
      <c r="B23" s="10" t="s">
        <v>71</v>
      </c>
      <c r="C23" s="7" t="s">
        <v>72</v>
      </c>
      <c r="D23" s="7">
        <v>1</v>
      </c>
      <c r="E23" t="s">
        <v>69</v>
      </c>
      <c r="F23" t="s">
        <v>9</v>
      </c>
      <c r="G23" s="1" t="s">
        <v>70</v>
      </c>
      <c r="H23" s="7" t="s">
        <v>166</v>
      </c>
      <c r="I23" s="1" t="s">
        <v>203</v>
      </c>
      <c r="J23" s="1" t="s">
        <v>204</v>
      </c>
      <c r="K23" s="5">
        <v>4.0000000000000002E-4</v>
      </c>
      <c r="L23">
        <v>10</v>
      </c>
      <c r="M23" s="5">
        <v>4.0000000000000001E-3</v>
      </c>
      <c r="O23" s="4" t="s">
        <v>9</v>
      </c>
    </row>
    <row r="24" spans="1:15" x14ac:dyDescent="0.3">
      <c r="A24">
        <v>23</v>
      </c>
      <c r="B24" s="10" t="s">
        <v>73</v>
      </c>
      <c r="C24" s="7" t="s">
        <v>74</v>
      </c>
      <c r="D24" s="7">
        <v>1</v>
      </c>
      <c r="E24" t="s">
        <v>75</v>
      </c>
      <c r="F24" t="s">
        <v>9</v>
      </c>
      <c r="G24" s="1" t="s">
        <v>76</v>
      </c>
      <c r="H24" s="7" t="s">
        <v>166</v>
      </c>
      <c r="I24" s="1" t="s">
        <v>205</v>
      </c>
      <c r="J24" s="1" t="s">
        <v>206</v>
      </c>
      <c r="K24" s="5">
        <v>6.9999999999999999E-4</v>
      </c>
      <c r="L24">
        <v>10</v>
      </c>
      <c r="M24" s="5">
        <v>7.0000000000000001E-3</v>
      </c>
      <c r="O24" s="4" t="s">
        <v>9</v>
      </c>
    </row>
    <row r="25" spans="1:15" x14ac:dyDescent="0.3">
      <c r="A25">
        <v>24</v>
      </c>
      <c r="B25" s="10" t="s">
        <v>180</v>
      </c>
      <c r="C25" s="7" t="s">
        <v>77</v>
      </c>
      <c r="D25" s="7">
        <v>2</v>
      </c>
      <c r="E25" t="s">
        <v>75</v>
      </c>
      <c r="F25" t="s">
        <v>9</v>
      </c>
      <c r="G25" s="1" t="s">
        <v>76</v>
      </c>
      <c r="H25" s="7" t="s">
        <v>166</v>
      </c>
      <c r="I25" s="1" t="s">
        <v>207</v>
      </c>
      <c r="J25" s="1" t="s">
        <v>208</v>
      </c>
      <c r="K25" s="5">
        <v>6.9999999999999999E-4</v>
      </c>
      <c r="L25">
        <v>10</v>
      </c>
      <c r="M25" s="5">
        <v>7.0000000000000001E-3</v>
      </c>
      <c r="O25" s="4" t="s">
        <v>9</v>
      </c>
    </row>
    <row r="26" spans="1:15" x14ac:dyDescent="0.3">
      <c r="A26">
        <v>25</v>
      </c>
      <c r="B26" s="10" t="s">
        <v>181</v>
      </c>
      <c r="C26" s="7" t="s">
        <v>223</v>
      </c>
      <c r="D26" s="7">
        <v>2</v>
      </c>
      <c r="E26" t="s">
        <v>75</v>
      </c>
      <c r="F26" t="s">
        <v>9</v>
      </c>
      <c r="G26" s="1" t="s">
        <v>76</v>
      </c>
      <c r="H26" s="7" t="s">
        <v>224</v>
      </c>
      <c r="I26" s="1" t="s">
        <v>225</v>
      </c>
      <c r="J26" s="1" t="s">
        <v>225</v>
      </c>
      <c r="K26" s="5">
        <v>0</v>
      </c>
      <c r="L26">
        <v>0</v>
      </c>
      <c r="M26" s="5">
        <v>0</v>
      </c>
      <c r="O26" s="4" t="s">
        <v>9</v>
      </c>
    </row>
    <row r="27" spans="1:15" x14ac:dyDescent="0.3">
      <c r="A27">
        <v>26</v>
      </c>
      <c r="B27" s="10" t="s">
        <v>182</v>
      </c>
      <c r="C27" s="7" t="s">
        <v>149</v>
      </c>
      <c r="D27" s="7">
        <v>2</v>
      </c>
      <c r="E27" t="s">
        <v>75</v>
      </c>
      <c r="F27" t="s">
        <v>9</v>
      </c>
      <c r="G27" s="1" t="s">
        <v>76</v>
      </c>
      <c r="H27" s="7" t="s">
        <v>166</v>
      </c>
      <c r="I27" s="1" t="s">
        <v>209</v>
      </c>
      <c r="J27" s="1" t="s">
        <v>210</v>
      </c>
      <c r="K27" s="5">
        <v>8.0000000000000004E-4</v>
      </c>
      <c r="L27">
        <v>10</v>
      </c>
      <c r="M27" s="5">
        <v>8.0000000000000002E-3</v>
      </c>
      <c r="O27" s="4" t="s">
        <v>9</v>
      </c>
    </row>
    <row r="28" spans="1:15" x14ac:dyDescent="0.3">
      <c r="A28">
        <v>27</v>
      </c>
      <c r="B28" s="10" t="s">
        <v>183</v>
      </c>
      <c r="C28" s="7" t="s">
        <v>78</v>
      </c>
      <c r="D28" s="7">
        <v>2</v>
      </c>
      <c r="E28" t="s">
        <v>75</v>
      </c>
      <c r="F28" t="s">
        <v>9</v>
      </c>
      <c r="G28" s="1" t="s">
        <v>76</v>
      </c>
      <c r="H28" s="7" t="s">
        <v>166</v>
      </c>
      <c r="I28" s="1" t="s">
        <v>211</v>
      </c>
      <c r="J28" s="1" t="s">
        <v>212</v>
      </c>
      <c r="K28" s="5">
        <v>8.0000000000000004E-4</v>
      </c>
      <c r="L28">
        <v>10</v>
      </c>
      <c r="M28" s="5">
        <v>8.0000000000000002E-3</v>
      </c>
      <c r="O28" s="4" t="s">
        <v>9</v>
      </c>
    </row>
    <row r="29" spans="1:15" x14ac:dyDescent="0.3">
      <c r="A29">
        <v>28</v>
      </c>
      <c r="B29" s="10" t="s">
        <v>79</v>
      </c>
      <c r="C29" s="7" t="s">
        <v>80</v>
      </c>
      <c r="D29" s="7">
        <v>1</v>
      </c>
      <c r="E29" t="s">
        <v>81</v>
      </c>
      <c r="F29" t="s">
        <v>9</v>
      </c>
      <c r="G29" s="1" t="s">
        <v>82</v>
      </c>
      <c r="H29" s="7" t="s">
        <v>166</v>
      </c>
      <c r="L29">
        <v>10</v>
      </c>
      <c r="M29" s="5">
        <v>0</v>
      </c>
      <c r="O29" s="4" t="s">
        <v>9</v>
      </c>
    </row>
    <row r="30" spans="1:15" x14ac:dyDescent="0.3">
      <c r="A30">
        <v>29</v>
      </c>
      <c r="B30" s="10" t="s">
        <v>184</v>
      </c>
      <c r="C30" s="7" t="s">
        <v>83</v>
      </c>
      <c r="D30" s="7">
        <v>2</v>
      </c>
      <c r="E30" t="s">
        <v>75</v>
      </c>
      <c r="F30" t="s">
        <v>9</v>
      </c>
      <c r="G30" s="1" t="s">
        <v>76</v>
      </c>
      <c r="H30" s="7" t="s">
        <v>166</v>
      </c>
      <c r="I30" s="1" t="s">
        <v>213</v>
      </c>
      <c r="J30" s="1" t="s">
        <v>214</v>
      </c>
      <c r="K30" s="5">
        <v>8.0000000000000004E-4</v>
      </c>
      <c r="L30">
        <v>10</v>
      </c>
      <c r="M30" s="5">
        <v>8.0000000000000002E-3</v>
      </c>
      <c r="O30" s="4" t="s">
        <v>9</v>
      </c>
    </row>
    <row r="31" spans="1:15" x14ac:dyDescent="0.3">
      <c r="A31">
        <v>30</v>
      </c>
      <c r="B31" s="10" t="s">
        <v>84</v>
      </c>
      <c r="C31" s="7" t="s">
        <v>85</v>
      </c>
      <c r="D31" s="7">
        <v>1</v>
      </c>
      <c r="E31" t="s">
        <v>75</v>
      </c>
      <c r="F31" t="s">
        <v>9</v>
      </c>
      <c r="G31" s="1" t="s">
        <v>76</v>
      </c>
      <c r="H31" s="7" t="s">
        <v>166</v>
      </c>
      <c r="I31" s="1" t="s">
        <v>215</v>
      </c>
      <c r="J31" s="1" t="s">
        <v>216</v>
      </c>
      <c r="K31" s="5">
        <v>8.9999999999999998E-4</v>
      </c>
      <c r="L31">
        <v>10</v>
      </c>
      <c r="M31" s="5">
        <v>8.9999999999999993E-3</v>
      </c>
      <c r="O31" s="4" t="s">
        <v>9</v>
      </c>
    </row>
    <row r="32" spans="1:15" x14ac:dyDescent="0.3">
      <c r="A32">
        <v>31</v>
      </c>
      <c r="B32" s="10" t="s">
        <v>185</v>
      </c>
      <c r="C32" s="7" t="s">
        <v>150</v>
      </c>
      <c r="D32" s="7">
        <v>3</v>
      </c>
      <c r="E32" t="s">
        <v>86</v>
      </c>
      <c r="F32" t="s">
        <v>9</v>
      </c>
      <c r="G32" s="1" t="s">
        <v>87</v>
      </c>
      <c r="H32" s="7" t="s">
        <v>166</v>
      </c>
      <c r="I32" s="1" t="s">
        <v>217</v>
      </c>
      <c r="J32" s="1" t="s">
        <v>218</v>
      </c>
      <c r="K32" s="5">
        <v>3.7000000000000002E-3</v>
      </c>
      <c r="L32">
        <v>10</v>
      </c>
      <c r="M32" s="5">
        <v>3.6999999999999998E-2</v>
      </c>
      <c r="O32" s="4" t="s">
        <v>9</v>
      </c>
    </row>
    <row r="33" spans="1:15" x14ac:dyDescent="0.3">
      <c r="A33">
        <v>32</v>
      </c>
      <c r="B33" s="10" t="s">
        <v>88</v>
      </c>
      <c r="C33" s="7" t="s">
        <v>89</v>
      </c>
      <c r="D33" s="7">
        <v>1</v>
      </c>
      <c r="E33" t="s">
        <v>75</v>
      </c>
      <c r="F33" t="s">
        <v>9</v>
      </c>
      <c r="G33" s="1" t="s">
        <v>76</v>
      </c>
      <c r="H33" s="7" t="s">
        <v>166</v>
      </c>
      <c r="I33" s="1" t="s">
        <v>219</v>
      </c>
      <c r="J33" s="1" t="s">
        <v>220</v>
      </c>
      <c r="K33" s="5">
        <v>8.0000000000000004E-4</v>
      </c>
      <c r="L33">
        <v>10</v>
      </c>
      <c r="M33" s="5">
        <v>8.0000000000000002E-3</v>
      </c>
      <c r="O33" s="4" t="s">
        <v>9</v>
      </c>
    </row>
    <row r="34" spans="1:15" x14ac:dyDescent="0.3">
      <c r="A34">
        <v>33</v>
      </c>
      <c r="B34" s="10" t="s">
        <v>90</v>
      </c>
      <c r="C34" s="7" t="s">
        <v>91</v>
      </c>
      <c r="D34" s="7">
        <v>1</v>
      </c>
      <c r="E34" t="s">
        <v>75</v>
      </c>
      <c r="F34" t="s">
        <v>9</v>
      </c>
      <c r="G34" s="1" t="s">
        <v>76</v>
      </c>
      <c r="H34" s="7" t="s">
        <v>166</v>
      </c>
      <c r="I34" s="1" t="s">
        <v>221</v>
      </c>
      <c r="J34" s="1" t="s">
        <v>222</v>
      </c>
      <c r="K34" s="5">
        <v>8.0000000000000004E-4</v>
      </c>
      <c r="L34">
        <v>10</v>
      </c>
      <c r="M34" s="5">
        <v>8.0000000000000002E-3</v>
      </c>
      <c r="O34" s="4" t="s">
        <v>9</v>
      </c>
    </row>
    <row r="35" spans="1:15" x14ac:dyDescent="0.3">
      <c r="A35">
        <v>34</v>
      </c>
      <c r="B35" s="10" t="s">
        <v>92</v>
      </c>
      <c r="C35" s="7" t="s">
        <v>80</v>
      </c>
      <c r="D35" s="7">
        <v>1</v>
      </c>
      <c r="E35" t="s">
        <v>75</v>
      </c>
      <c r="F35" t="s">
        <v>9</v>
      </c>
      <c r="G35" s="1" t="s">
        <v>76</v>
      </c>
      <c r="H35" s="7" t="s">
        <v>166</v>
      </c>
      <c r="M35" s="5">
        <v>0</v>
      </c>
      <c r="O35" s="4" t="s">
        <v>9</v>
      </c>
    </row>
    <row r="36" spans="1:15" x14ac:dyDescent="0.3">
      <c r="A36">
        <v>35</v>
      </c>
      <c r="B36" s="10" t="s">
        <v>93</v>
      </c>
      <c r="C36" s="7" t="s">
        <v>94</v>
      </c>
      <c r="D36" s="7">
        <v>1</v>
      </c>
      <c r="E36" t="s">
        <v>95</v>
      </c>
      <c r="F36" t="s">
        <v>9</v>
      </c>
      <c r="G36" s="1" t="s">
        <v>96</v>
      </c>
      <c r="H36" s="7" t="s">
        <v>166</v>
      </c>
      <c r="I36" s="1" t="s">
        <v>94</v>
      </c>
      <c r="J36" s="1" t="s">
        <v>154</v>
      </c>
      <c r="K36" s="5">
        <v>0.89</v>
      </c>
      <c r="L36">
        <v>2</v>
      </c>
      <c r="M36" s="5">
        <v>1.78</v>
      </c>
      <c r="O36" s="4" t="s">
        <v>9</v>
      </c>
    </row>
    <row r="37" spans="1:15" x14ac:dyDescent="0.3">
      <c r="A37">
        <v>36</v>
      </c>
      <c r="B37" s="10" t="s">
        <v>97</v>
      </c>
      <c r="C37" s="7" t="s">
        <v>98</v>
      </c>
      <c r="D37" s="7">
        <v>1</v>
      </c>
      <c r="E37" t="s">
        <v>99</v>
      </c>
      <c r="F37" t="s">
        <v>100</v>
      </c>
      <c r="G37" s="1" t="s">
        <v>101</v>
      </c>
      <c r="H37" s="7" t="s">
        <v>165</v>
      </c>
      <c r="I37" s="1" t="s">
        <v>102</v>
      </c>
      <c r="J37" s="1">
        <v>4128033</v>
      </c>
      <c r="K37" s="5">
        <v>1.94</v>
      </c>
      <c r="L37">
        <v>1</v>
      </c>
      <c r="M37" s="5">
        <v>1.94</v>
      </c>
      <c r="N37" t="s">
        <v>103</v>
      </c>
      <c r="O37" s="4" t="s">
        <v>9</v>
      </c>
    </row>
    <row r="38" spans="1:15" x14ac:dyDescent="0.3">
      <c r="A38">
        <v>37</v>
      </c>
      <c r="B38" s="10" t="s">
        <v>104</v>
      </c>
      <c r="C38" s="7" t="s">
        <v>105</v>
      </c>
      <c r="D38" s="7">
        <v>1</v>
      </c>
      <c r="E38" t="s">
        <v>106</v>
      </c>
      <c r="F38" t="s">
        <v>107</v>
      </c>
      <c r="G38" s="1" t="s">
        <v>108</v>
      </c>
      <c r="H38" s="7" t="s">
        <v>165</v>
      </c>
      <c r="I38" s="1" t="s">
        <v>109</v>
      </c>
      <c r="J38" s="1">
        <v>2534283</v>
      </c>
      <c r="K38" s="5">
        <v>0.38</v>
      </c>
      <c r="L38">
        <v>5</v>
      </c>
      <c r="M38" s="5">
        <v>1.9</v>
      </c>
      <c r="N38" t="s">
        <v>110</v>
      </c>
      <c r="O38" s="4" t="s">
        <v>9</v>
      </c>
    </row>
    <row r="39" spans="1:15" x14ac:dyDescent="0.3">
      <c r="A39">
        <v>38</v>
      </c>
      <c r="B39" s="10" t="s">
        <v>111</v>
      </c>
      <c r="C39" s="7" t="s">
        <v>168</v>
      </c>
      <c r="D39" s="7">
        <v>1</v>
      </c>
      <c r="E39" t="s">
        <v>112</v>
      </c>
      <c r="F39" t="s">
        <v>169</v>
      </c>
      <c r="G39" s="1" t="s">
        <v>113</v>
      </c>
      <c r="H39" s="7" t="s">
        <v>165</v>
      </c>
      <c r="I39" s="1" t="s">
        <v>167</v>
      </c>
      <c r="J39" s="1">
        <v>2983883</v>
      </c>
      <c r="K39" s="5">
        <v>1.34</v>
      </c>
      <c r="L39">
        <v>1</v>
      </c>
      <c r="M39" s="5">
        <v>1.34</v>
      </c>
      <c r="N39" t="s">
        <v>114</v>
      </c>
      <c r="O39" s="4" t="s">
        <v>9</v>
      </c>
    </row>
    <row r="40" spans="1:15" x14ac:dyDescent="0.3">
      <c r="A40">
        <v>39</v>
      </c>
      <c r="B40" s="10" t="s">
        <v>115</v>
      </c>
      <c r="C40" s="7" t="s">
        <v>116</v>
      </c>
      <c r="D40" s="7">
        <v>1</v>
      </c>
      <c r="E40" t="s">
        <v>117</v>
      </c>
      <c r="F40" t="s">
        <v>118</v>
      </c>
      <c r="G40" s="1" t="s">
        <v>119</v>
      </c>
      <c r="H40" s="7" t="s">
        <v>165</v>
      </c>
      <c r="I40" s="1" t="s">
        <v>120</v>
      </c>
      <c r="J40" s="1">
        <v>3121547</v>
      </c>
      <c r="K40" s="5">
        <v>1.85</v>
      </c>
      <c r="L40">
        <v>1</v>
      </c>
      <c r="M40" s="5">
        <v>1.85</v>
      </c>
      <c r="N40" t="s">
        <v>121</v>
      </c>
      <c r="O40" s="4" t="s">
        <v>9</v>
      </c>
    </row>
    <row r="41" spans="1:15" x14ac:dyDescent="0.3">
      <c r="A41">
        <v>40</v>
      </c>
      <c r="B41" s="10" t="s">
        <v>122</v>
      </c>
      <c r="C41" s="7" t="s">
        <v>123</v>
      </c>
      <c r="D41" s="7">
        <v>1</v>
      </c>
      <c r="E41" t="s">
        <v>124</v>
      </c>
      <c r="F41" t="s">
        <v>125</v>
      </c>
      <c r="G41" s="1" t="s">
        <v>126</v>
      </c>
      <c r="H41" s="7" t="s">
        <v>165</v>
      </c>
      <c r="I41" s="1" t="s">
        <v>127</v>
      </c>
      <c r="J41" s="1">
        <v>2907898</v>
      </c>
      <c r="K41" s="5">
        <v>1.72</v>
      </c>
      <c r="L41">
        <v>1</v>
      </c>
      <c r="M41" s="5">
        <v>1.72</v>
      </c>
      <c r="N41" t="s">
        <v>128</v>
      </c>
      <c r="O41" s="4" t="s">
        <v>9</v>
      </c>
    </row>
    <row r="42" spans="1:15" x14ac:dyDescent="0.3">
      <c r="A42">
        <v>41</v>
      </c>
      <c r="B42" s="10" t="s">
        <v>176</v>
      </c>
      <c r="C42" s="7" t="s">
        <v>129</v>
      </c>
      <c r="D42" s="7">
        <v>2</v>
      </c>
      <c r="E42" t="s">
        <v>130</v>
      </c>
      <c r="F42" t="s">
        <v>131</v>
      </c>
      <c r="G42" s="1" t="s">
        <v>132</v>
      </c>
      <c r="H42" s="7" t="s">
        <v>165</v>
      </c>
      <c r="I42" s="1" t="s">
        <v>133</v>
      </c>
      <c r="J42" s="1">
        <v>2991624</v>
      </c>
      <c r="K42" s="5">
        <v>3.49</v>
      </c>
      <c r="L42">
        <v>1</v>
      </c>
      <c r="M42" s="5">
        <v>3.49</v>
      </c>
      <c r="N42" t="s">
        <v>134</v>
      </c>
      <c r="O42" s="4" t="s">
        <v>9</v>
      </c>
    </row>
    <row r="43" spans="1:15" x14ac:dyDescent="0.3">
      <c r="A43">
        <v>42</v>
      </c>
      <c r="B43" s="10" t="s">
        <v>135</v>
      </c>
      <c r="C43" s="7" t="s">
        <v>136</v>
      </c>
      <c r="D43" s="7">
        <v>1</v>
      </c>
      <c r="E43" t="s">
        <v>137</v>
      </c>
      <c r="F43" t="s">
        <v>138</v>
      </c>
      <c r="G43" s="1" t="s">
        <v>139</v>
      </c>
      <c r="H43" s="7" t="s">
        <v>165</v>
      </c>
      <c r="I43" s="1" t="s">
        <v>140</v>
      </c>
      <c r="J43" s="1">
        <v>4551122</v>
      </c>
      <c r="K43" s="5">
        <v>0.52</v>
      </c>
      <c r="L43">
        <v>1</v>
      </c>
      <c r="M43" s="5">
        <v>0.52</v>
      </c>
      <c r="N43" t="s">
        <v>141</v>
      </c>
      <c r="O43" s="4" t="s">
        <v>9</v>
      </c>
    </row>
    <row r="44" spans="1:15" x14ac:dyDescent="0.3">
      <c r="A44">
        <v>43</v>
      </c>
      <c r="B44" s="10" t="s">
        <v>142</v>
      </c>
      <c r="C44" s="7" t="s">
        <v>143</v>
      </c>
      <c r="D44" s="7">
        <v>1</v>
      </c>
      <c r="E44" t="s">
        <v>144</v>
      </c>
      <c r="F44" t="s">
        <v>9</v>
      </c>
      <c r="G44" s="1" t="s">
        <v>145</v>
      </c>
      <c r="H44" s="7" t="s">
        <v>165</v>
      </c>
      <c r="I44" s="1" t="s">
        <v>143</v>
      </c>
      <c r="J44" s="1">
        <v>4331750</v>
      </c>
      <c r="K44" s="5">
        <v>0.67</v>
      </c>
      <c r="L44">
        <v>1</v>
      </c>
      <c r="M44" s="5">
        <v>0.67</v>
      </c>
      <c r="N44" t="s">
        <v>146</v>
      </c>
      <c r="O44" s="4" t="s">
        <v>9</v>
      </c>
    </row>
    <row r="45" spans="1:15" x14ac:dyDescent="0.3">
      <c r="A45" t="s">
        <v>248</v>
      </c>
      <c r="D45" s="7">
        <f>SUBTOTAL(109,COMET1_CCT_BOM[Qty])</f>
        <v>83</v>
      </c>
      <c r="M45" s="5">
        <f>SUBTOTAL(109,COMET1_CCT_BOM[Order Price])</f>
        <v>38.4754</v>
      </c>
      <c r="O45" s="4">
        <f>SUBTOTAL(103,COMET1_CCT_BOM[Column1])</f>
        <v>43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36D-B24E-4C08-97A7-F5021818CB32}">
  <dimension ref="A1:P24"/>
  <sheetViews>
    <sheetView workbookViewId="0">
      <selection activeCell="E28" sqref="E28"/>
    </sheetView>
  </sheetViews>
  <sheetFormatPr defaultRowHeight="14.4" x14ac:dyDescent="0.3"/>
  <cols>
    <col min="1" max="1" width="4.33203125" bestFit="1" customWidth="1"/>
    <col min="2" max="2" width="40.5546875" bestFit="1" customWidth="1"/>
    <col min="3" max="3" width="8.44140625" bestFit="1" customWidth="1"/>
    <col min="4" max="4" width="6.44140625" bestFit="1" customWidth="1"/>
    <col min="5" max="5" width="32.5546875" bestFit="1" customWidth="1"/>
    <col min="6" max="6" width="12.5546875" bestFit="1" customWidth="1"/>
    <col min="7" max="7" width="40.33203125" bestFit="1" customWidth="1"/>
    <col min="8" max="8" width="7.33203125" bestFit="1" customWidth="1"/>
    <col min="9" max="9" width="10.88671875" bestFit="1" customWidth="1"/>
    <col min="10" max="10" width="23.5546875" bestFit="1" customWidth="1"/>
    <col min="11" max="11" width="14.5546875" bestFit="1" customWidth="1"/>
    <col min="12" max="12" width="11.88671875" bestFit="1" customWidth="1"/>
    <col min="13" max="13" width="12" bestFit="1" customWidth="1"/>
    <col min="14" max="14" width="13.44140625" bestFit="1" customWidth="1"/>
    <col min="15" max="15" width="81.109375" bestFit="1" customWidth="1"/>
    <col min="16" max="16" width="11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6</v>
      </c>
      <c r="I1" t="s">
        <v>158</v>
      </c>
      <c r="J1" t="s">
        <v>7</v>
      </c>
      <c r="K1" t="s">
        <v>159</v>
      </c>
      <c r="L1" t="s">
        <v>162</v>
      </c>
      <c r="M1" t="s">
        <v>163</v>
      </c>
      <c r="N1" t="s">
        <v>164</v>
      </c>
      <c r="O1" t="s">
        <v>161</v>
      </c>
      <c r="P1" t="s">
        <v>147</v>
      </c>
    </row>
    <row r="2" spans="1:16" x14ac:dyDescent="0.3">
      <c r="A2">
        <v>2</v>
      </c>
      <c r="B2" t="s">
        <v>171</v>
      </c>
      <c r="C2" t="s">
        <v>11</v>
      </c>
      <c r="D2">
        <v>4</v>
      </c>
      <c r="E2" t="s">
        <v>12</v>
      </c>
      <c r="F2" t="s">
        <v>9</v>
      </c>
      <c r="G2" t="s">
        <v>13</v>
      </c>
      <c r="H2" t="s">
        <v>9</v>
      </c>
      <c r="I2" t="s">
        <v>166</v>
      </c>
      <c r="J2" t="s">
        <v>189</v>
      </c>
      <c r="K2" t="s">
        <v>190</v>
      </c>
      <c r="L2">
        <v>3.5000000000000001E-3</v>
      </c>
      <c r="M2">
        <v>10</v>
      </c>
      <c r="N2">
        <v>3.5000000000000003E-2</v>
      </c>
      <c r="P2" t="s">
        <v>9</v>
      </c>
    </row>
    <row r="3" spans="1:16" x14ac:dyDescent="0.3">
      <c r="A3">
        <v>3</v>
      </c>
      <c r="B3" t="s">
        <v>170</v>
      </c>
      <c r="C3" t="s">
        <v>14</v>
      </c>
      <c r="D3">
        <v>11</v>
      </c>
      <c r="E3" t="s">
        <v>12</v>
      </c>
      <c r="F3" t="s">
        <v>9</v>
      </c>
      <c r="G3" t="s">
        <v>15</v>
      </c>
      <c r="H3" t="s">
        <v>9</v>
      </c>
      <c r="I3" t="s">
        <v>166</v>
      </c>
      <c r="J3" t="s">
        <v>195</v>
      </c>
      <c r="K3" t="s">
        <v>196</v>
      </c>
      <c r="L3">
        <v>8.9999999999999998E-4</v>
      </c>
      <c r="M3">
        <v>20</v>
      </c>
      <c r="N3">
        <v>1.7999999999999999E-2</v>
      </c>
      <c r="P3" t="s">
        <v>9</v>
      </c>
    </row>
    <row r="4" spans="1:16" x14ac:dyDescent="0.3">
      <c r="A4">
        <v>4</v>
      </c>
      <c r="B4" t="s">
        <v>172</v>
      </c>
      <c r="C4" t="s">
        <v>16</v>
      </c>
      <c r="D4">
        <v>2</v>
      </c>
      <c r="E4" t="s">
        <v>12</v>
      </c>
      <c r="F4" t="s">
        <v>9</v>
      </c>
      <c r="G4" t="s">
        <v>15</v>
      </c>
      <c r="H4" t="s">
        <v>9</v>
      </c>
      <c r="I4" t="s">
        <v>166</v>
      </c>
      <c r="J4" t="s">
        <v>193</v>
      </c>
      <c r="K4" t="s">
        <v>194</v>
      </c>
      <c r="L4">
        <v>6.9999999999999999E-4</v>
      </c>
      <c r="M4">
        <v>10</v>
      </c>
      <c r="N4">
        <v>7.0000000000000001E-3</v>
      </c>
      <c r="P4" t="s">
        <v>9</v>
      </c>
    </row>
    <row r="5" spans="1:16" x14ac:dyDescent="0.3">
      <c r="A5">
        <v>5</v>
      </c>
      <c r="B5" t="s">
        <v>173</v>
      </c>
      <c r="C5" t="s">
        <v>14</v>
      </c>
      <c r="D5">
        <v>8</v>
      </c>
      <c r="E5" t="s">
        <v>17</v>
      </c>
      <c r="F5" t="s">
        <v>9</v>
      </c>
      <c r="G5" t="s">
        <v>18</v>
      </c>
      <c r="H5" t="s">
        <v>9</v>
      </c>
      <c r="I5" t="s">
        <v>166</v>
      </c>
      <c r="J5" t="s">
        <v>191</v>
      </c>
      <c r="K5" t="s">
        <v>192</v>
      </c>
      <c r="L5">
        <v>2E-3</v>
      </c>
      <c r="M5">
        <v>10</v>
      </c>
      <c r="N5">
        <v>0.02</v>
      </c>
      <c r="P5" t="s">
        <v>9</v>
      </c>
    </row>
    <row r="6" spans="1:16" x14ac:dyDescent="0.3">
      <c r="A6">
        <v>6</v>
      </c>
      <c r="B6" t="s">
        <v>174</v>
      </c>
      <c r="C6" t="s">
        <v>19</v>
      </c>
      <c r="D6">
        <v>4</v>
      </c>
      <c r="E6" t="s">
        <v>17</v>
      </c>
      <c r="F6" t="s">
        <v>9</v>
      </c>
      <c r="G6" t="s">
        <v>18</v>
      </c>
      <c r="H6" t="s">
        <v>9</v>
      </c>
      <c r="I6" t="s">
        <v>166</v>
      </c>
      <c r="J6" t="s">
        <v>197</v>
      </c>
      <c r="K6" t="s">
        <v>198</v>
      </c>
      <c r="L6">
        <v>2E-3</v>
      </c>
      <c r="M6">
        <v>10</v>
      </c>
      <c r="N6">
        <v>0.02</v>
      </c>
      <c r="P6" t="s">
        <v>9</v>
      </c>
    </row>
    <row r="7" spans="1:16" x14ac:dyDescent="0.3">
      <c r="A7">
        <v>7</v>
      </c>
      <c r="B7" t="s">
        <v>175</v>
      </c>
      <c r="C7" t="s">
        <v>11</v>
      </c>
      <c r="D7">
        <v>2</v>
      </c>
      <c r="E7" t="s">
        <v>17</v>
      </c>
      <c r="F7" t="s">
        <v>9</v>
      </c>
      <c r="G7" t="s">
        <v>18</v>
      </c>
      <c r="H7" t="s">
        <v>9</v>
      </c>
      <c r="I7" t="s">
        <v>166</v>
      </c>
      <c r="J7" t="s">
        <v>199</v>
      </c>
      <c r="K7" t="s">
        <v>200</v>
      </c>
      <c r="L7">
        <v>7.0000000000000001E-3</v>
      </c>
      <c r="M7">
        <v>10</v>
      </c>
      <c r="N7">
        <v>7.0000000000000007E-2</v>
      </c>
      <c r="P7" t="s">
        <v>9</v>
      </c>
    </row>
    <row r="8" spans="1:16" x14ac:dyDescent="0.3">
      <c r="A8">
        <v>8</v>
      </c>
      <c r="B8" t="s">
        <v>20</v>
      </c>
      <c r="C8" t="s">
        <v>9</v>
      </c>
      <c r="D8">
        <v>1</v>
      </c>
      <c r="E8" t="s">
        <v>232</v>
      </c>
      <c r="F8" t="s">
        <v>9</v>
      </c>
      <c r="G8" t="s">
        <v>229</v>
      </c>
      <c r="H8" t="s">
        <v>9</v>
      </c>
      <c r="I8" t="s">
        <v>166</v>
      </c>
      <c r="J8" t="s">
        <v>230</v>
      </c>
      <c r="K8" t="s">
        <v>231</v>
      </c>
      <c r="L8">
        <v>6.4000000000000003E-3</v>
      </c>
      <c r="M8">
        <v>1</v>
      </c>
      <c r="N8">
        <v>6.4000000000000003E-3</v>
      </c>
      <c r="P8" t="s">
        <v>9</v>
      </c>
    </row>
    <row r="9" spans="1:16" x14ac:dyDescent="0.3">
      <c r="A9">
        <v>10</v>
      </c>
      <c r="B9" t="s">
        <v>27</v>
      </c>
      <c r="C9" t="s">
        <v>9</v>
      </c>
      <c r="D9">
        <v>1</v>
      </c>
      <c r="E9" t="s">
        <v>234</v>
      </c>
      <c r="G9" t="s">
        <v>233</v>
      </c>
      <c r="H9" t="s">
        <v>9</v>
      </c>
      <c r="I9" t="s">
        <v>166</v>
      </c>
      <c r="J9" t="s">
        <v>235</v>
      </c>
      <c r="K9" t="s">
        <v>236</v>
      </c>
      <c r="L9">
        <v>1.7000000000000001E-2</v>
      </c>
      <c r="M9">
        <v>1</v>
      </c>
      <c r="N9">
        <v>1.7000000000000001E-2</v>
      </c>
      <c r="P9" t="s">
        <v>9</v>
      </c>
    </row>
    <row r="10" spans="1:16" x14ac:dyDescent="0.3">
      <c r="A10">
        <v>17</v>
      </c>
      <c r="B10" t="s">
        <v>57</v>
      </c>
      <c r="C10" t="s">
        <v>148</v>
      </c>
      <c r="D10">
        <v>1</v>
      </c>
      <c r="E10" t="s">
        <v>58</v>
      </c>
      <c r="F10" t="s">
        <v>9</v>
      </c>
      <c r="G10" t="s">
        <v>59</v>
      </c>
      <c r="H10" t="s">
        <v>9</v>
      </c>
      <c r="I10" t="s">
        <v>166</v>
      </c>
      <c r="J10" t="s">
        <v>151</v>
      </c>
      <c r="K10">
        <v>4568814</v>
      </c>
      <c r="L10">
        <v>1.4</v>
      </c>
      <c r="M10">
        <v>1</v>
      </c>
      <c r="N10">
        <v>1.4</v>
      </c>
      <c r="O10" t="s">
        <v>152</v>
      </c>
      <c r="P10" t="s">
        <v>9</v>
      </c>
    </row>
    <row r="11" spans="1:16" x14ac:dyDescent="0.3">
      <c r="A11">
        <v>21</v>
      </c>
      <c r="B11" t="s">
        <v>179</v>
      </c>
      <c r="C11" t="s">
        <v>68</v>
      </c>
      <c r="D11">
        <v>2</v>
      </c>
      <c r="E11" t="s">
        <v>69</v>
      </c>
      <c r="F11" t="s">
        <v>9</v>
      </c>
      <c r="G11" t="s">
        <v>70</v>
      </c>
      <c r="H11" t="s">
        <v>9</v>
      </c>
      <c r="I11" t="s">
        <v>166</v>
      </c>
      <c r="J11" t="s">
        <v>201</v>
      </c>
      <c r="K11" t="s">
        <v>202</v>
      </c>
      <c r="L11">
        <v>8.0000000000000004E-4</v>
      </c>
      <c r="M11">
        <v>10</v>
      </c>
      <c r="N11">
        <v>8.0000000000000002E-3</v>
      </c>
      <c r="P11" t="s">
        <v>9</v>
      </c>
    </row>
    <row r="12" spans="1:16" x14ac:dyDescent="0.3">
      <c r="A12">
        <v>22</v>
      </c>
      <c r="B12" t="s">
        <v>71</v>
      </c>
      <c r="C12" t="s">
        <v>72</v>
      </c>
      <c r="D12">
        <v>1</v>
      </c>
      <c r="E12" t="s">
        <v>69</v>
      </c>
      <c r="F12" t="s">
        <v>9</v>
      </c>
      <c r="G12" t="s">
        <v>70</v>
      </c>
      <c r="H12" t="s">
        <v>9</v>
      </c>
      <c r="I12" t="s">
        <v>166</v>
      </c>
      <c r="J12" t="s">
        <v>203</v>
      </c>
      <c r="K12" t="s">
        <v>204</v>
      </c>
      <c r="L12">
        <v>4.0000000000000002E-4</v>
      </c>
      <c r="M12">
        <v>10</v>
      </c>
      <c r="N12">
        <v>4.0000000000000001E-3</v>
      </c>
      <c r="P12" t="s">
        <v>9</v>
      </c>
    </row>
    <row r="13" spans="1:16" x14ac:dyDescent="0.3">
      <c r="A13">
        <v>23</v>
      </c>
      <c r="B13" t="s">
        <v>73</v>
      </c>
      <c r="C13" t="s">
        <v>74</v>
      </c>
      <c r="D13">
        <v>1</v>
      </c>
      <c r="E13" t="s">
        <v>75</v>
      </c>
      <c r="F13" t="s">
        <v>9</v>
      </c>
      <c r="G13" t="s">
        <v>76</v>
      </c>
      <c r="H13" t="s">
        <v>9</v>
      </c>
      <c r="I13" t="s">
        <v>166</v>
      </c>
      <c r="J13" t="s">
        <v>205</v>
      </c>
      <c r="K13" t="s">
        <v>206</v>
      </c>
      <c r="L13">
        <v>6.9999999999999999E-4</v>
      </c>
      <c r="M13">
        <v>10</v>
      </c>
      <c r="N13">
        <v>7.0000000000000001E-3</v>
      </c>
      <c r="P13" t="s">
        <v>9</v>
      </c>
    </row>
    <row r="14" spans="1:16" x14ac:dyDescent="0.3">
      <c r="A14">
        <v>24</v>
      </c>
      <c r="B14" t="s">
        <v>180</v>
      </c>
      <c r="C14" t="s">
        <v>77</v>
      </c>
      <c r="D14">
        <v>2</v>
      </c>
      <c r="E14" t="s">
        <v>75</v>
      </c>
      <c r="F14" t="s">
        <v>9</v>
      </c>
      <c r="G14" t="s">
        <v>76</v>
      </c>
      <c r="H14" t="s">
        <v>9</v>
      </c>
      <c r="I14" t="s">
        <v>166</v>
      </c>
      <c r="J14" t="s">
        <v>207</v>
      </c>
      <c r="K14" t="s">
        <v>208</v>
      </c>
      <c r="L14">
        <v>6.9999999999999999E-4</v>
      </c>
      <c r="M14">
        <v>10</v>
      </c>
      <c r="N14">
        <v>7.0000000000000001E-3</v>
      </c>
      <c r="P14" t="s">
        <v>9</v>
      </c>
    </row>
    <row r="15" spans="1:16" x14ac:dyDescent="0.3">
      <c r="A15">
        <v>26</v>
      </c>
      <c r="B15" t="s">
        <v>182</v>
      </c>
      <c r="C15" t="s">
        <v>149</v>
      </c>
      <c r="D15">
        <v>2</v>
      </c>
      <c r="E15" t="s">
        <v>75</v>
      </c>
      <c r="F15" t="s">
        <v>9</v>
      </c>
      <c r="G15" t="s">
        <v>76</v>
      </c>
      <c r="H15" t="s">
        <v>9</v>
      </c>
      <c r="I15" t="s">
        <v>166</v>
      </c>
      <c r="J15" t="s">
        <v>209</v>
      </c>
      <c r="K15" t="s">
        <v>210</v>
      </c>
      <c r="L15">
        <v>8.0000000000000004E-4</v>
      </c>
      <c r="M15">
        <v>10</v>
      </c>
      <c r="N15">
        <v>8.0000000000000002E-3</v>
      </c>
      <c r="P15" t="s">
        <v>9</v>
      </c>
    </row>
    <row r="16" spans="1:16" x14ac:dyDescent="0.3">
      <c r="A16">
        <v>27</v>
      </c>
      <c r="B16" t="s">
        <v>183</v>
      </c>
      <c r="C16" t="s">
        <v>78</v>
      </c>
      <c r="D16">
        <v>2</v>
      </c>
      <c r="E16" t="s">
        <v>75</v>
      </c>
      <c r="F16" t="s">
        <v>9</v>
      </c>
      <c r="G16" t="s">
        <v>76</v>
      </c>
      <c r="H16" t="s">
        <v>9</v>
      </c>
      <c r="I16" t="s">
        <v>166</v>
      </c>
      <c r="J16" t="s">
        <v>211</v>
      </c>
      <c r="K16" t="s">
        <v>212</v>
      </c>
      <c r="L16">
        <v>8.0000000000000004E-4</v>
      </c>
      <c r="M16">
        <v>10</v>
      </c>
      <c r="N16">
        <v>8.0000000000000002E-3</v>
      </c>
      <c r="P16" t="s">
        <v>9</v>
      </c>
    </row>
    <row r="17" spans="1:16" x14ac:dyDescent="0.3">
      <c r="A17">
        <v>28</v>
      </c>
      <c r="B17" t="s">
        <v>79</v>
      </c>
      <c r="C17" t="s">
        <v>80</v>
      </c>
      <c r="D17">
        <v>1</v>
      </c>
      <c r="E17" t="s">
        <v>81</v>
      </c>
      <c r="F17" t="s">
        <v>9</v>
      </c>
      <c r="G17" t="s">
        <v>82</v>
      </c>
      <c r="H17" t="s">
        <v>9</v>
      </c>
      <c r="I17" t="s">
        <v>166</v>
      </c>
      <c r="M17">
        <v>10</v>
      </c>
      <c r="N17">
        <v>0</v>
      </c>
      <c r="P17" t="s">
        <v>9</v>
      </c>
    </row>
    <row r="18" spans="1:16" x14ac:dyDescent="0.3">
      <c r="A18">
        <v>29</v>
      </c>
      <c r="B18" t="s">
        <v>184</v>
      </c>
      <c r="C18" t="s">
        <v>83</v>
      </c>
      <c r="D18">
        <v>2</v>
      </c>
      <c r="E18" t="s">
        <v>75</v>
      </c>
      <c r="F18" t="s">
        <v>9</v>
      </c>
      <c r="G18" t="s">
        <v>76</v>
      </c>
      <c r="H18" t="s">
        <v>9</v>
      </c>
      <c r="I18" t="s">
        <v>166</v>
      </c>
      <c r="J18" t="s">
        <v>213</v>
      </c>
      <c r="K18" t="s">
        <v>214</v>
      </c>
      <c r="L18">
        <v>8.0000000000000004E-4</v>
      </c>
      <c r="M18">
        <v>10</v>
      </c>
      <c r="N18">
        <v>8.0000000000000002E-3</v>
      </c>
      <c r="P18" t="s">
        <v>9</v>
      </c>
    </row>
    <row r="19" spans="1:16" x14ac:dyDescent="0.3">
      <c r="A19">
        <v>30</v>
      </c>
      <c r="B19" t="s">
        <v>84</v>
      </c>
      <c r="C19" t="s">
        <v>85</v>
      </c>
      <c r="D19">
        <v>1</v>
      </c>
      <c r="E19" t="s">
        <v>75</v>
      </c>
      <c r="F19" t="s">
        <v>9</v>
      </c>
      <c r="G19" t="s">
        <v>76</v>
      </c>
      <c r="H19" t="s">
        <v>9</v>
      </c>
      <c r="I19" t="s">
        <v>166</v>
      </c>
      <c r="J19" t="s">
        <v>215</v>
      </c>
      <c r="K19" t="s">
        <v>216</v>
      </c>
      <c r="L19">
        <v>8.9999999999999998E-4</v>
      </c>
      <c r="M19">
        <v>10</v>
      </c>
      <c r="N19">
        <v>8.9999999999999993E-3</v>
      </c>
      <c r="P19" t="s">
        <v>9</v>
      </c>
    </row>
    <row r="20" spans="1:16" x14ac:dyDescent="0.3">
      <c r="A20">
        <v>31</v>
      </c>
      <c r="B20" t="s">
        <v>185</v>
      </c>
      <c r="C20" t="s">
        <v>150</v>
      </c>
      <c r="D20">
        <v>3</v>
      </c>
      <c r="E20" t="s">
        <v>86</v>
      </c>
      <c r="F20" t="s">
        <v>9</v>
      </c>
      <c r="G20" t="s">
        <v>87</v>
      </c>
      <c r="H20" t="s">
        <v>9</v>
      </c>
      <c r="I20" t="s">
        <v>166</v>
      </c>
      <c r="J20" t="s">
        <v>217</v>
      </c>
      <c r="K20" t="s">
        <v>218</v>
      </c>
      <c r="L20">
        <v>3.7000000000000002E-3</v>
      </c>
      <c r="M20">
        <v>10</v>
      </c>
      <c r="N20">
        <v>3.6999999999999998E-2</v>
      </c>
      <c r="P20" t="s">
        <v>9</v>
      </c>
    </row>
    <row r="21" spans="1:16" x14ac:dyDescent="0.3">
      <c r="A21">
        <v>32</v>
      </c>
      <c r="B21" t="s">
        <v>88</v>
      </c>
      <c r="C21" t="s">
        <v>89</v>
      </c>
      <c r="D21">
        <v>1</v>
      </c>
      <c r="E21" t="s">
        <v>75</v>
      </c>
      <c r="F21" t="s">
        <v>9</v>
      </c>
      <c r="G21" t="s">
        <v>76</v>
      </c>
      <c r="H21" t="s">
        <v>9</v>
      </c>
      <c r="I21" t="s">
        <v>166</v>
      </c>
      <c r="J21" t="s">
        <v>219</v>
      </c>
      <c r="K21" t="s">
        <v>220</v>
      </c>
      <c r="L21">
        <v>8.0000000000000004E-4</v>
      </c>
      <c r="M21">
        <v>10</v>
      </c>
      <c r="N21">
        <v>8.0000000000000002E-3</v>
      </c>
      <c r="P21" t="s">
        <v>9</v>
      </c>
    </row>
    <row r="22" spans="1:16" x14ac:dyDescent="0.3">
      <c r="A22">
        <v>33</v>
      </c>
      <c r="B22" t="s">
        <v>90</v>
      </c>
      <c r="C22" t="s">
        <v>91</v>
      </c>
      <c r="D22">
        <v>1</v>
      </c>
      <c r="E22" t="s">
        <v>75</v>
      </c>
      <c r="F22" t="s">
        <v>9</v>
      </c>
      <c r="G22" t="s">
        <v>76</v>
      </c>
      <c r="H22" t="s">
        <v>9</v>
      </c>
      <c r="I22" t="s">
        <v>166</v>
      </c>
      <c r="J22" t="s">
        <v>221</v>
      </c>
      <c r="K22" t="s">
        <v>222</v>
      </c>
      <c r="L22">
        <v>8.0000000000000004E-4</v>
      </c>
      <c r="M22">
        <v>10</v>
      </c>
      <c r="N22">
        <v>8.0000000000000002E-3</v>
      </c>
      <c r="P22" t="s">
        <v>9</v>
      </c>
    </row>
    <row r="23" spans="1:16" x14ac:dyDescent="0.3">
      <c r="A23">
        <v>34</v>
      </c>
      <c r="B23" t="s">
        <v>92</v>
      </c>
      <c r="C23" t="s">
        <v>80</v>
      </c>
      <c r="D23">
        <v>1</v>
      </c>
      <c r="E23" t="s">
        <v>75</v>
      </c>
      <c r="F23" t="s">
        <v>9</v>
      </c>
      <c r="G23" t="s">
        <v>76</v>
      </c>
      <c r="H23" t="s">
        <v>9</v>
      </c>
      <c r="I23" t="s">
        <v>166</v>
      </c>
      <c r="N23">
        <v>0</v>
      </c>
      <c r="P23" t="s">
        <v>9</v>
      </c>
    </row>
    <row r="24" spans="1:16" x14ac:dyDescent="0.3">
      <c r="A24">
        <v>35</v>
      </c>
      <c r="B24" t="s">
        <v>93</v>
      </c>
      <c r="C24" t="s">
        <v>94</v>
      </c>
      <c r="D24">
        <v>1</v>
      </c>
      <c r="E24" t="s">
        <v>95</v>
      </c>
      <c r="F24" t="s">
        <v>9</v>
      </c>
      <c r="G24" t="s">
        <v>96</v>
      </c>
      <c r="H24" t="s">
        <v>9</v>
      </c>
      <c r="I24" t="s">
        <v>166</v>
      </c>
      <c r="J24" t="s">
        <v>94</v>
      </c>
      <c r="K24" t="s">
        <v>154</v>
      </c>
      <c r="L24">
        <v>0.89</v>
      </c>
      <c r="M24">
        <v>2</v>
      </c>
      <c r="N24">
        <v>1.78</v>
      </c>
      <c r="P2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B09-A67E-49F9-B0A8-C563D457218A}">
  <dimension ref="A1:O20"/>
  <sheetViews>
    <sheetView topLeftCell="E1" workbookViewId="0">
      <selection activeCell="L24" sqref="L24"/>
    </sheetView>
  </sheetViews>
  <sheetFormatPr defaultRowHeight="14.4" x14ac:dyDescent="0.3"/>
  <cols>
    <col min="1" max="1" width="4.33203125" bestFit="1" customWidth="1"/>
    <col min="2" max="2" width="19.5546875" bestFit="1" customWidth="1"/>
    <col min="3" max="3" width="17.5546875" bestFit="1" customWidth="1"/>
    <col min="4" max="4" width="4.109375" bestFit="1" customWidth="1"/>
    <col min="5" max="5" width="40.6640625" customWidth="1"/>
    <col min="6" max="6" width="14.88671875" customWidth="1"/>
    <col min="7" max="7" width="25.5546875" customWidth="1"/>
    <col min="8" max="8" width="10.88671875" bestFit="1" customWidth="1"/>
    <col min="9" max="9" width="19.44140625" bestFit="1" customWidth="1"/>
    <col min="10" max="10" width="14.5546875" bestFit="1" customWidth="1"/>
    <col min="11" max="11" width="11.88671875" bestFit="1" customWidth="1"/>
    <col min="12" max="12" width="12" bestFit="1" customWidth="1"/>
    <col min="13" max="13" width="13.44140625" bestFit="1" customWidth="1"/>
    <col min="14" max="14" width="81.109375" bestFit="1" customWidth="1"/>
    <col min="15" max="15" width="11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158</v>
      </c>
      <c r="I1" t="s">
        <v>7</v>
      </c>
      <c r="J1" t="s">
        <v>159</v>
      </c>
      <c r="K1" t="s">
        <v>162</v>
      </c>
      <c r="L1" t="s">
        <v>163</v>
      </c>
      <c r="M1" t="s">
        <v>164</v>
      </c>
      <c r="N1" t="s">
        <v>161</v>
      </c>
      <c r="O1" t="s">
        <v>147</v>
      </c>
    </row>
    <row r="2" spans="1:15" x14ac:dyDescent="0.3">
      <c r="A2">
        <v>1</v>
      </c>
      <c r="B2" t="s">
        <v>8</v>
      </c>
      <c r="C2" t="s">
        <v>9</v>
      </c>
      <c r="D2">
        <v>1</v>
      </c>
      <c r="E2" t="s">
        <v>246</v>
      </c>
      <c r="F2" t="s">
        <v>247</v>
      </c>
      <c r="G2" t="s">
        <v>10</v>
      </c>
      <c r="H2" t="s">
        <v>165</v>
      </c>
      <c r="I2" t="s">
        <v>244</v>
      </c>
      <c r="J2">
        <v>4245943</v>
      </c>
      <c r="K2">
        <v>1.06</v>
      </c>
      <c r="L2">
        <v>5</v>
      </c>
      <c r="M2">
        <v>5.3</v>
      </c>
      <c r="N2" t="s">
        <v>245</v>
      </c>
      <c r="O2" t="s">
        <v>9</v>
      </c>
    </row>
    <row r="3" spans="1:15" x14ac:dyDescent="0.3">
      <c r="A3">
        <v>9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 t="s">
        <v>25</v>
      </c>
      <c r="H3" t="s">
        <v>165</v>
      </c>
      <c r="I3" t="s">
        <v>22</v>
      </c>
      <c r="J3">
        <v>1269406</v>
      </c>
      <c r="K3">
        <v>1.84</v>
      </c>
      <c r="L3">
        <v>1</v>
      </c>
      <c r="M3">
        <v>1.84</v>
      </c>
      <c r="N3" t="s">
        <v>26</v>
      </c>
      <c r="O3" t="s">
        <v>9</v>
      </c>
    </row>
    <row r="4" spans="1:15" x14ac:dyDescent="0.3">
      <c r="A4">
        <v>11</v>
      </c>
      <c r="B4" t="s">
        <v>28</v>
      </c>
      <c r="C4" t="s">
        <v>29</v>
      </c>
      <c r="D4">
        <v>1</v>
      </c>
      <c r="E4" t="s">
        <v>30</v>
      </c>
      <c r="F4" t="s">
        <v>9</v>
      </c>
      <c r="G4" t="s">
        <v>31</v>
      </c>
      <c r="H4" t="s">
        <v>165</v>
      </c>
      <c r="I4" t="s">
        <v>237</v>
      </c>
      <c r="J4">
        <v>4072044</v>
      </c>
      <c r="K4">
        <v>0.12</v>
      </c>
      <c r="L4">
        <v>5</v>
      </c>
      <c r="M4">
        <v>0.6</v>
      </c>
      <c r="N4" t="s">
        <v>238</v>
      </c>
      <c r="O4" t="s">
        <v>9</v>
      </c>
    </row>
    <row r="5" spans="1:15" x14ac:dyDescent="0.3">
      <c r="A5">
        <v>12</v>
      </c>
      <c r="B5" t="s">
        <v>177</v>
      </c>
      <c r="C5" t="s">
        <v>32</v>
      </c>
      <c r="D5">
        <v>2</v>
      </c>
      <c r="E5" t="s">
        <v>33</v>
      </c>
      <c r="F5" t="s">
        <v>34</v>
      </c>
      <c r="G5" t="s">
        <v>35</v>
      </c>
      <c r="H5" t="s">
        <v>165</v>
      </c>
      <c r="I5" t="s">
        <v>32</v>
      </c>
      <c r="J5">
        <v>1688320</v>
      </c>
      <c r="K5">
        <v>1.4</v>
      </c>
      <c r="L5">
        <v>2</v>
      </c>
      <c r="M5">
        <v>2.8</v>
      </c>
      <c r="N5" t="s">
        <v>157</v>
      </c>
      <c r="O5" t="s">
        <v>9</v>
      </c>
    </row>
    <row r="6" spans="1:15" x14ac:dyDescent="0.3">
      <c r="A6">
        <v>13</v>
      </c>
      <c r="B6" t="s">
        <v>36</v>
      </c>
      <c r="C6" t="s">
        <v>37</v>
      </c>
      <c r="D6">
        <v>1</v>
      </c>
      <c r="E6" t="s">
        <v>38</v>
      </c>
      <c r="G6" t="s">
        <v>39</v>
      </c>
      <c r="H6" t="s">
        <v>165</v>
      </c>
      <c r="I6" t="s">
        <v>155</v>
      </c>
      <c r="J6">
        <v>2614940</v>
      </c>
      <c r="K6">
        <v>1.87</v>
      </c>
      <c r="L6">
        <v>1</v>
      </c>
      <c r="M6">
        <v>1.87</v>
      </c>
      <c r="N6" t="s">
        <v>156</v>
      </c>
      <c r="O6" t="s">
        <v>9</v>
      </c>
    </row>
    <row r="7" spans="1:15" x14ac:dyDescent="0.3">
      <c r="A7">
        <v>14</v>
      </c>
      <c r="B7" t="s">
        <v>40</v>
      </c>
      <c r="C7" t="s">
        <v>41</v>
      </c>
      <c r="D7">
        <v>1</v>
      </c>
      <c r="E7" t="s">
        <v>42</v>
      </c>
      <c r="F7" t="s">
        <v>43</v>
      </c>
      <c r="G7" t="s">
        <v>44</v>
      </c>
      <c r="H7" t="s">
        <v>165</v>
      </c>
      <c r="I7" t="s">
        <v>45</v>
      </c>
      <c r="J7">
        <v>2924867</v>
      </c>
      <c r="K7">
        <v>1.01</v>
      </c>
      <c r="L7">
        <v>1</v>
      </c>
      <c r="M7">
        <v>1.01</v>
      </c>
      <c r="N7" t="s">
        <v>46</v>
      </c>
      <c r="O7" t="s">
        <v>9</v>
      </c>
    </row>
    <row r="8" spans="1:15" x14ac:dyDescent="0.3">
      <c r="A8">
        <v>15</v>
      </c>
      <c r="B8" t="s">
        <v>47</v>
      </c>
      <c r="C8" t="s">
        <v>48</v>
      </c>
      <c r="D8">
        <v>1</v>
      </c>
      <c r="E8" t="s">
        <v>49</v>
      </c>
      <c r="F8" t="s">
        <v>153</v>
      </c>
      <c r="G8" t="s">
        <v>50</v>
      </c>
      <c r="H8" t="s">
        <v>165</v>
      </c>
      <c r="I8" t="s">
        <v>242</v>
      </c>
      <c r="J8">
        <v>1462758</v>
      </c>
      <c r="K8">
        <v>1.54</v>
      </c>
      <c r="L8">
        <v>1</v>
      </c>
      <c r="M8">
        <v>1.54</v>
      </c>
      <c r="N8" t="s">
        <v>243</v>
      </c>
      <c r="O8" t="s">
        <v>9</v>
      </c>
    </row>
    <row r="9" spans="1:15" x14ac:dyDescent="0.3">
      <c r="A9">
        <v>16</v>
      </c>
      <c r="B9" t="s">
        <v>178</v>
      </c>
      <c r="C9" t="s">
        <v>51</v>
      </c>
      <c r="D9">
        <v>6</v>
      </c>
      <c r="E9" t="s">
        <v>52</v>
      </c>
      <c r="F9" t="s">
        <v>53</v>
      </c>
      <c r="G9" t="s">
        <v>54</v>
      </c>
      <c r="H9" t="s">
        <v>165</v>
      </c>
      <c r="I9" t="s">
        <v>55</v>
      </c>
      <c r="J9">
        <v>3103081</v>
      </c>
      <c r="K9">
        <v>0.95</v>
      </c>
      <c r="L9">
        <v>6</v>
      </c>
      <c r="M9">
        <v>5.7</v>
      </c>
      <c r="N9" t="s">
        <v>56</v>
      </c>
      <c r="O9" t="s">
        <v>9</v>
      </c>
    </row>
    <row r="10" spans="1:15" x14ac:dyDescent="0.3">
      <c r="A10">
        <v>18</v>
      </c>
      <c r="B10" t="s">
        <v>60</v>
      </c>
      <c r="C10" t="s">
        <v>61</v>
      </c>
      <c r="D10">
        <v>1</v>
      </c>
      <c r="E10" t="s">
        <v>228</v>
      </c>
      <c r="G10" t="s">
        <v>62</v>
      </c>
      <c r="H10" t="s">
        <v>165</v>
      </c>
      <c r="I10" t="s">
        <v>188</v>
      </c>
      <c r="J10">
        <v>1864116</v>
      </c>
      <c r="K10">
        <v>0.25</v>
      </c>
      <c r="L10">
        <v>1</v>
      </c>
      <c r="M10">
        <v>0.25</v>
      </c>
      <c r="N10" t="s">
        <v>241</v>
      </c>
      <c r="O10" t="s">
        <v>9</v>
      </c>
    </row>
    <row r="11" spans="1:15" x14ac:dyDescent="0.3">
      <c r="A11">
        <v>19</v>
      </c>
      <c r="B11" t="s">
        <v>63</v>
      </c>
      <c r="C11" t="s">
        <v>64</v>
      </c>
      <c r="D11">
        <v>1</v>
      </c>
      <c r="E11" t="s">
        <v>226</v>
      </c>
      <c r="F11" t="s">
        <v>9</v>
      </c>
      <c r="G11" t="s">
        <v>65</v>
      </c>
      <c r="H11" t="s">
        <v>165</v>
      </c>
      <c r="I11" t="s">
        <v>187</v>
      </c>
      <c r="J11">
        <v>3796319</v>
      </c>
      <c r="K11">
        <v>0.13</v>
      </c>
      <c r="L11">
        <v>5</v>
      </c>
      <c r="M11">
        <v>0.65</v>
      </c>
      <c r="N11" t="s">
        <v>239</v>
      </c>
      <c r="O11" t="s">
        <v>9</v>
      </c>
    </row>
    <row r="12" spans="1:15" x14ac:dyDescent="0.3">
      <c r="A12">
        <v>36</v>
      </c>
      <c r="B12" t="s">
        <v>97</v>
      </c>
      <c r="C12" t="s">
        <v>98</v>
      </c>
      <c r="D12">
        <v>1</v>
      </c>
      <c r="E12" t="s">
        <v>99</v>
      </c>
      <c r="F12" t="s">
        <v>100</v>
      </c>
      <c r="G12" t="s">
        <v>101</v>
      </c>
      <c r="H12" t="s">
        <v>165</v>
      </c>
      <c r="I12" t="s">
        <v>102</v>
      </c>
      <c r="J12">
        <v>4128033</v>
      </c>
      <c r="K12">
        <v>1.94</v>
      </c>
      <c r="L12">
        <v>1</v>
      </c>
      <c r="M12">
        <v>1.94</v>
      </c>
      <c r="N12" t="s">
        <v>103</v>
      </c>
      <c r="O12" t="s">
        <v>9</v>
      </c>
    </row>
    <row r="13" spans="1:15" x14ac:dyDescent="0.3">
      <c r="A13">
        <v>37</v>
      </c>
      <c r="B13" t="s">
        <v>104</v>
      </c>
      <c r="C13" t="s">
        <v>105</v>
      </c>
      <c r="D13">
        <v>1</v>
      </c>
      <c r="E13" t="s">
        <v>106</v>
      </c>
      <c r="F13" t="s">
        <v>107</v>
      </c>
      <c r="G13" t="s">
        <v>108</v>
      </c>
      <c r="H13" t="s">
        <v>165</v>
      </c>
      <c r="I13" t="s">
        <v>109</v>
      </c>
      <c r="J13">
        <v>2534283</v>
      </c>
      <c r="K13">
        <v>0.38</v>
      </c>
      <c r="L13">
        <v>5</v>
      </c>
      <c r="M13">
        <v>1.9</v>
      </c>
      <c r="N13" t="s">
        <v>110</v>
      </c>
      <c r="O13" t="s">
        <v>9</v>
      </c>
    </row>
    <row r="14" spans="1:15" x14ac:dyDescent="0.3">
      <c r="A14">
        <v>38</v>
      </c>
      <c r="B14" t="s">
        <v>111</v>
      </c>
      <c r="C14" t="s">
        <v>168</v>
      </c>
      <c r="D14">
        <v>1</v>
      </c>
      <c r="E14" t="s">
        <v>112</v>
      </c>
      <c r="F14" t="s">
        <v>169</v>
      </c>
      <c r="G14" t="s">
        <v>113</v>
      </c>
      <c r="H14" t="s">
        <v>165</v>
      </c>
      <c r="I14" t="s">
        <v>167</v>
      </c>
      <c r="J14">
        <v>2983883</v>
      </c>
      <c r="K14">
        <v>1.34</v>
      </c>
      <c r="L14">
        <v>1</v>
      </c>
      <c r="M14">
        <v>1.34</v>
      </c>
      <c r="N14" t="s">
        <v>114</v>
      </c>
      <c r="O14" t="s">
        <v>9</v>
      </c>
    </row>
    <row r="15" spans="1:15" x14ac:dyDescent="0.3">
      <c r="A15">
        <v>39</v>
      </c>
      <c r="B15" t="s">
        <v>115</v>
      </c>
      <c r="C15" t="s">
        <v>116</v>
      </c>
      <c r="D15">
        <v>1</v>
      </c>
      <c r="E15" t="s">
        <v>117</v>
      </c>
      <c r="F15" t="s">
        <v>118</v>
      </c>
      <c r="G15" t="s">
        <v>119</v>
      </c>
      <c r="H15" t="s">
        <v>165</v>
      </c>
      <c r="I15" t="s">
        <v>120</v>
      </c>
      <c r="J15">
        <v>3121547</v>
      </c>
      <c r="K15">
        <v>1.85</v>
      </c>
      <c r="L15">
        <v>1</v>
      </c>
      <c r="M15">
        <v>1.85</v>
      </c>
      <c r="N15" t="s">
        <v>121</v>
      </c>
      <c r="O15" t="s">
        <v>9</v>
      </c>
    </row>
    <row r="16" spans="1:15" x14ac:dyDescent="0.3">
      <c r="A16">
        <v>40</v>
      </c>
      <c r="B16" t="s">
        <v>122</v>
      </c>
      <c r="C16" t="s">
        <v>123</v>
      </c>
      <c r="D16">
        <v>1</v>
      </c>
      <c r="E16" t="s">
        <v>124</v>
      </c>
      <c r="F16" t="s">
        <v>125</v>
      </c>
      <c r="G16" t="s">
        <v>126</v>
      </c>
      <c r="H16" t="s">
        <v>165</v>
      </c>
      <c r="I16" t="s">
        <v>127</v>
      </c>
      <c r="J16">
        <v>2907898</v>
      </c>
      <c r="K16">
        <v>1.72</v>
      </c>
      <c r="L16">
        <v>1</v>
      </c>
      <c r="M16">
        <v>1.72</v>
      </c>
      <c r="N16" t="s">
        <v>128</v>
      </c>
      <c r="O16" t="s">
        <v>9</v>
      </c>
    </row>
    <row r="17" spans="1:15" x14ac:dyDescent="0.3">
      <c r="A17">
        <v>41</v>
      </c>
      <c r="B17" t="s">
        <v>176</v>
      </c>
      <c r="C17" t="s">
        <v>129</v>
      </c>
      <c r="D17">
        <v>2</v>
      </c>
      <c r="E17" t="s">
        <v>130</v>
      </c>
      <c r="F17" t="s">
        <v>131</v>
      </c>
      <c r="G17" t="s">
        <v>132</v>
      </c>
      <c r="H17" t="s">
        <v>165</v>
      </c>
      <c r="I17" t="s">
        <v>133</v>
      </c>
      <c r="J17">
        <v>2991624</v>
      </c>
      <c r="K17">
        <v>3.49</v>
      </c>
      <c r="L17">
        <v>1</v>
      </c>
      <c r="M17">
        <v>3.49</v>
      </c>
      <c r="N17" t="s">
        <v>134</v>
      </c>
      <c r="O17" t="s">
        <v>9</v>
      </c>
    </row>
    <row r="18" spans="1:15" x14ac:dyDescent="0.3">
      <c r="A18">
        <v>42</v>
      </c>
      <c r="B18" t="s">
        <v>135</v>
      </c>
      <c r="C18" t="s">
        <v>136</v>
      </c>
      <c r="D18">
        <v>1</v>
      </c>
      <c r="E18" t="s">
        <v>137</v>
      </c>
      <c r="F18" t="s">
        <v>138</v>
      </c>
      <c r="G18" t="s">
        <v>139</v>
      </c>
      <c r="H18" t="s">
        <v>165</v>
      </c>
      <c r="I18" t="s">
        <v>140</v>
      </c>
      <c r="J18">
        <v>4551122</v>
      </c>
      <c r="K18">
        <v>0.52</v>
      </c>
      <c r="L18">
        <v>1</v>
      </c>
      <c r="M18">
        <v>0.52</v>
      </c>
      <c r="N18" t="s">
        <v>141</v>
      </c>
      <c r="O18" t="s">
        <v>9</v>
      </c>
    </row>
    <row r="19" spans="1:15" x14ac:dyDescent="0.3">
      <c r="A19">
        <v>43</v>
      </c>
      <c r="B19" t="s">
        <v>142</v>
      </c>
      <c r="C19" t="s">
        <v>143</v>
      </c>
      <c r="D19">
        <v>1</v>
      </c>
      <c r="E19" t="s">
        <v>144</v>
      </c>
      <c r="F19" t="s">
        <v>9</v>
      </c>
      <c r="G19" t="s">
        <v>145</v>
      </c>
      <c r="H19" t="s">
        <v>165</v>
      </c>
      <c r="I19" t="s">
        <v>143</v>
      </c>
      <c r="J19">
        <v>4331750</v>
      </c>
      <c r="K19">
        <v>0.67</v>
      </c>
      <c r="L19">
        <v>1</v>
      </c>
      <c r="M19">
        <v>0.67</v>
      </c>
      <c r="N19" t="s">
        <v>146</v>
      </c>
      <c r="O19" t="s">
        <v>9</v>
      </c>
    </row>
    <row r="20" spans="1:15" x14ac:dyDescent="0.3">
      <c r="A20" t="s">
        <v>248</v>
      </c>
      <c r="M20">
        <f>SUBTOTAL(109,BOM_FARNELL[Order Price])</f>
        <v>34.99</v>
      </c>
      <c r="O20">
        <f>SUBTOTAL(103,BOM_FARNELL[Column1])</f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8CFF-A722-4EF2-A9B9-560E1838BAD7}">
  <dimension ref="A1:R45"/>
  <sheetViews>
    <sheetView zoomScaleNormal="100" workbookViewId="0">
      <selection activeCell="E14" sqref="E14"/>
    </sheetView>
  </sheetViews>
  <sheetFormatPr defaultColWidth="0" defaultRowHeight="14.4" x14ac:dyDescent="0.3"/>
  <cols>
    <col min="1" max="1" width="3" bestFit="1" customWidth="1"/>
    <col min="2" max="2" width="40.5546875" bestFit="1" customWidth="1"/>
    <col min="3" max="3" width="17.5546875" bestFit="1" customWidth="1"/>
    <col min="4" max="4" width="7.109375" customWidth="1"/>
    <col min="5" max="5" width="39.109375" customWidth="1"/>
    <col min="6" max="6" width="12" customWidth="1"/>
    <col min="7" max="7" width="30.109375" customWidth="1"/>
    <col min="8" max="8" width="5" bestFit="1" customWidth="1"/>
    <col min="9" max="9" width="10" customWidth="1"/>
    <col min="10" max="10" width="23.5546875" bestFit="1" customWidth="1"/>
    <col min="11" max="11" width="19.109375" bestFit="1" customWidth="1"/>
    <col min="12" max="12" width="11" style="8" bestFit="1" customWidth="1"/>
    <col min="13" max="13" width="9.6640625" style="7" bestFit="1" customWidth="1"/>
    <col min="14" max="14" width="12.5546875" style="5" bestFit="1" customWidth="1"/>
    <col min="15" max="18" width="9.109375" customWidth="1"/>
    <col min="19" max="16384" width="9.109375" hidden="1"/>
  </cols>
  <sheetData>
    <row r="1" spans="1:16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6</v>
      </c>
      <c r="I1" t="s">
        <v>158</v>
      </c>
      <c r="J1" t="s">
        <v>7</v>
      </c>
      <c r="K1" t="s">
        <v>159</v>
      </c>
      <c r="L1" s="8" t="s">
        <v>162</v>
      </c>
      <c r="M1" s="7" t="s">
        <v>163</v>
      </c>
      <c r="N1" s="5" t="s">
        <v>164</v>
      </c>
      <c r="O1" t="s">
        <v>161</v>
      </c>
      <c r="P1" s="4" t="s">
        <v>147</v>
      </c>
    </row>
    <row r="2" spans="1:16" s="1" customFormat="1" x14ac:dyDescent="0.3">
      <c r="A2" s="1">
        <v>1</v>
      </c>
      <c r="B2" s="1" t="s">
        <v>8</v>
      </c>
      <c r="C2" s="1" t="s">
        <v>9</v>
      </c>
      <c r="D2" s="1">
        <v>1</v>
      </c>
      <c r="E2" s="1" t="s">
        <v>246</v>
      </c>
      <c r="F2" s="1" t="s">
        <v>247</v>
      </c>
      <c r="G2" s="1" t="s">
        <v>10</v>
      </c>
      <c r="H2" s="1" t="s">
        <v>9</v>
      </c>
      <c r="I2" s="1" t="s">
        <v>165</v>
      </c>
      <c r="J2" s="1" t="s">
        <v>244</v>
      </c>
      <c r="K2" s="1">
        <v>4245943</v>
      </c>
      <c r="L2" s="8">
        <v>1.06</v>
      </c>
      <c r="M2" s="7">
        <v>5</v>
      </c>
      <c r="N2" s="6">
        <f>Table1[[#This Row],[Part Price]]*Table1[[#This Row],[Order Qty]]</f>
        <v>5.3000000000000007</v>
      </c>
      <c r="O2" s="1" t="s">
        <v>245</v>
      </c>
      <c r="P2" s="3" t="s">
        <v>9</v>
      </c>
    </row>
    <row r="3" spans="1:16" s="1" customFormat="1" x14ac:dyDescent="0.3">
      <c r="A3" s="1">
        <v>2</v>
      </c>
      <c r="B3" s="1" t="s">
        <v>171</v>
      </c>
      <c r="C3" s="1" t="s">
        <v>11</v>
      </c>
      <c r="D3" s="1">
        <v>4</v>
      </c>
      <c r="E3" s="1" t="s">
        <v>12</v>
      </c>
      <c r="F3" s="1" t="s">
        <v>9</v>
      </c>
      <c r="G3" s="1" t="s">
        <v>13</v>
      </c>
      <c r="H3" s="1" t="s">
        <v>9</v>
      </c>
      <c r="I3" s="1" t="s">
        <v>166</v>
      </c>
      <c r="J3" s="1" t="s">
        <v>189</v>
      </c>
      <c r="K3" s="1" t="s">
        <v>190</v>
      </c>
      <c r="L3" s="8">
        <v>3.5000000000000001E-3</v>
      </c>
      <c r="M3" s="7">
        <v>10</v>
      </c>
      <c r="N3" s="6">
        <f>Table1[[#This Row],[Part Price]]*Table1[[#This Row],[Order Qty]]</f>
        <v>3.5000000000000003E-2</v>
      </c>
      <c r="P3" s="3" t="s">
        <v>9</v>
      </c>
    </row>
    <row r="4" spans="1:16" s="1" customFormat="1" x14ac:dyDescent="0.3">
      <c r="A4" s="1">
        <v>3</v>
      </c>
      <c r="B4" s="1" t="s">
        <v>170</v>
      </c>
      <c r="C4" s="1" t="s">
        <v>14</v>
      </c>
      <c r="D4" s="1">
        <v>11</v>
      </c>
      <c r="E4" s="1" t="s">
        <v>12</v>
      </c>
      <c r="F4" s="1" t="s">
        <v>9</v>
      </c>
      <c r="G4" s="1" t="s">
        <v>15</v>
      </c>
      <c r="H4" s="1" t="s">
        <v>9</v>
      </c>
      <c r="I4" s="1" t="s">
        <v>166</v>
      </c>
      <c r="J4" s="1" t="s">
        <v>195</v>
      </c>
      <c r="K4" s="1" t="s">
        <v>196</v>
      </c>
      <c r="L4" s="8">
        <v>8.9999999999999998E-4</v>
      </c>
      <c r="M4" s="7">
        <v>20</v>
      </c>
      <c r="N4" s="6">
        <f>Table1[[#This Row],[Part Price]]*Table1[[#This Row],[Order Qty]]</f>
        <v>1.7999999999999999E-2</v>
      </c>
      <c r="P4" s="3" t="s">
        <v>9</v>
      </c>
    </row>
    <row r="5" spans="1:16" s="1" customFormat="1" x14ac:dyDescent="0.3">
      <c r="A5" s="1">
        <v>4</v>
      </c>
      <c r="B5" s="1" t="s">
        <v>172</v>
      </c>
      <c r="C5" s="1" t="s">
        <v>16</v>
      </c>
      <c r="D5" s="1">
        <v>2</v>
      </c>
      <c r="E5" s="1" t="s">
        <v>12</v>
      </c>
      <c r="F5" s="1" t="s">
        <v>9</v>
      </c>
      <c r="G5" s="1" t="s">
        <v>15</v>
      </c>
      <c r="H5" s="1" t="s">
        <v>9</v>
      </c>
      <c r="I5" s="1" t="s">
        <v>166</v>
      </c>
      <c r="J5" s="1" t="s">
        <v>193</v>
      </c>
      <c r="K5" s="1" t="s">
        <v>194</v>
      </c>
      <c r="L5" s="8">
        <v>6.9999999999999999E-4</v>
      </c>
      <c r="M5" s="7">
        <v>10</v>
      </c>
      <c r="N5" s="6">
        <f>Table1[[#This Row],[Part Price]]*Table1[[#This Row],[Order Qty]]</f>
        <v>7.0000000000000001E-3</v>
      </c>
      <c r="P5" s="3" t="s">
        <v>9</v>
      </c>
    </row>
    <row r="6" spans="1:16" s="1" customFormat="1" x14ac:dyDescent="0.3">
      <c r="A6" s="1">
        <v>5</v>
      </c>
      <c r="B6" s="1" t="s">
        <v>173</v>
      </c>
      <c r="C6" s="1" t="s">
        <v>14</v>
      </c>
      <c r="D6" s="1">
        <v>8</v>
      </c>
      <c r="E6" s="1" t="s">
        <v>17</v>
      </c>
      <c r="F6" s="1" t="s">
        <v>9</v>
      </c>
      <c r="G6" s="1" t="s">
        <v>18</v>
      </c>
      <c r="H6" s="1" t="s">
        <v>9</v>
      </c>
      <c r="I6" s="1" t="s">
        <v>166</v>
      </c>
      <c r="J6" s="1" t="s">
        <v>191</v>
      </c>
      <c r="K6" s="1" t="s">
        <v>192</v>
      </c>
      <c r="L6" s="8">
        <v>2E-3</v>
      </c>
      <c r="M6" s="7">
        <v>10</v>
      </c>
      <c r="N6" s="6">
        <f>Table1[[#This Row],[Part Price]]*Table1[[#This Row],[Order Qty]]</f>
        <v>0.02</v>
      </c>
      <c r="P6" s="3" t="s">
        <v>9</v>
      </c>
    </row>
    <row r="7" spans="1:16" s="1" customFormat="1" x14ac:dyDescent="0.3">
      <c r="A7" s="1">
        <v>6</v>
      </c>
      <c r="B7" s="1" t="s">
        <v>174</v>
      </c>
      <c r="C7" s="1" t="s">
        <v>19</v>
      </c>
      <c r="D7" s="1">
        <v>4</v>
      </c>
      <c r="E7" s="1" t="s">
        <v>17</v>
      </c>
      <c r="F7" s="1" t="s">
        <v>9</v>
      </c>
      <c r="G7" s="1" t="s">
        <v>18</v>
      </c>
      <c r="H7" s="1" t="s">
        <v>9</v>
      </c>
      <c r="I7" s="1" t="s">
        <v>166</v>
      </c>
      <c r="J7" s="1" t="s">
        <v>197</v>
      </c>
      <c r="K7" s="1" t="s">
        <v>198</v>
      </c>
      <c r="L7" s="8">
        <v>2E-3</v>
      </c>
      <c r="M7" s="7">
        <v>10</v>
      </c>
      <c r="N7" s="6">
        <f>Table1[[#This Row],[Part Price]]*Table1[[#This Row],[Order Qty]]</f>
        <v>0.02</v>
      </c>
      <c r="P7" s="3" t="s">
        <v>9</v>
      </c>
    </row>
    <row r="8" spans="1:16" s="1" customFormat="1" x14ac:dyDescent="0.3">
      <c r="A8" s="1">
        <v>7</v>
      </c>
      <c r="B8" s="1" t="s">
        <v>175</v>
      </c>
      <c r="C8" s="1" t="s">
        <v>11</v>
      </c>
      <c r="D8" s="1">
        <v>2</v>
      </c>
      <c r="E8" s="1" t="s">
        <v>17</v>
      </c>
      <c r="F8" s="1" t="s">
        <v>9</v>
      </c>
      <c r="G8" s="1" t="s">
        <v>18</v>
      </c>
      <c r="H8" s="1" t="s">
        <v>9</v>
      </c>
      <c r="I8" s="1" t="s">
        <v>166</v>
      </c>
      <c r="J8" s="1" t="s">
        <v>199</v>
      </c>
      <c r="K8" s="1" t="s">
        <v>200</v>
      </c>
      <c r="L8" s="8">
        <v>7.0000000000000001E-3</v>
      </c>
      <c r="M8" s="7">
        <v>10</v>
      </c>
      <c r="N8" s="6">
        <f>Table1[[#This Row],[Part Price]]*Table1[[#This Row],[Order Qty]]</f>
        <v>7.0000000000000007E-2</v>
      </c>
      <c r="P8" s="3" t="s">
        <v>9</v>
      </c>
    </row>
    <row r="9" spans="1:16" s="1" customFormat="1" x14ac:dyDescent="0.3">
      <c r="A9" s="1">
        <v>8</v>
      </c>
      <c r="B9" s="1" t="s">
        <v>20</v>
      </c>
      <c r="C9" s="1" t="s">
        <v>9</v>
      </c>
      <c r="D9" s="1">
        <v>1</v>
      </c>
      <c r="E9" s="1" t="s">
        <v>232</v>
      </c>
      <c r="F9" s="1" t="s">
        <v>9</v>
      </c>
      <c r="G9" s="1" t="s">
        <v>229</v>
      </c>
      <c r="H9" s="1" t="s">
        <v>9</v>
      </c>
      <c r="I9" s="1" t="s">
        <v>166</v>
      </c>
      <c r="J9" s="1" t="s">
        <v>230</v>
      </c>
      <c r="K9" s="1" t="s">
        <v>231</v>
      </c>
      <c r="L9" s="8">
        <v>6.4000000000000003E-3</v>
      </c>
      <c r="M9" s="7">
        <v>1</v>
      </c>
      <c r="N9" s="6">
        <f>Table1[[#This Row],[Part Price]]*Table1[[#This Row],[Order Qty]]</f>
        <v>6.4000000000000003E-3</v>
      </c>
      <c r="P9" s="3" t="s">
        <v>9</v>
      </c>
    </row>
    <row r="10" spans="1:16" s="1" customFormat="1" x14ac:dyDescent="0.3">
      <c r="A10" s="1">
        <v>9</v>
      </c>
      <c r="B10" s="1" t="s">
        <v>21</v>
      </c>
      <c r="C10" s="1" t="s">
        <v>22</v>
      </c>
      <c r="D10" s="1">
        <v>1</v>
      </c>
      <c r="E10" s="1" t="s">
        <v>23</v>
      </c>
      <c r="F10" s="1" t="s">
        <v>24</v>
      </c>
      <c r="G10" s="1" t="s">
        <v>25</v>
      </c>
      <c r="H10" s="1" t="s">
        <v>9</v>
      </c>
      <c r="I10" s="1" t="s">
        <v>165</v>
      </c>
      <c r="J10" s="1" t="s">
        <v>22</v>
      </c>
      <c r="K10" s="1">
        <v>1269406</v>
      </c>
      <c r="L10" s="8">
        <v>1.84</v>
      </c>
      <c r="M10" s="7">
        <v>1</v>
      </c>
      <c r="N10" s="6">
        <f>Table1[[#This Row],[Part Price]]*Table1[[#This Row],[Order Qty]]</f>
        <v>1.84</v>
      </c>
      <c r="O10" s="1" t="s">
        <v>26</v>
      </c>
      <c r="P10" s="3" t="s">
        <v>9</v>
      </c>
    </row>
    <row r="11" spans="1:16" s="1" customFormat="1" x14ac:dyDescent="0.3">
      <c r="A11" s="1">
        <v>10</v>
      </c>
      <c r="B11" s="1" t="s">
        <v>27</v>
      </c>
      <c r="C11" s="1" t="s">
        <v>9</v>
      </c>
      <c r="D11" s="1">
        <v>1</v>
      </c>
      <c r="E11" s="1" t="s">
        <v>234</v>
      </c>
      <c r="G11" s="1" t="s">
        <v>233</v>
      </c>
      <c r="H11" s="1" t="s">
        <v>9</v>
      </c>
      <c r="I11" s="1" t="s">
        <v>166</v>
      </c>
      <c r="J11" s="1" t="s">
        <v>235</v>
      </c>
      <c r="K11" s="1" t="s">
        <v>236</v>
      </c>
      <c r="L11" s="8">
        <v>1.7000000000000001E-2</v>
      </c>
      <c r="M11" s="7">
        <v>1</v>
      </c>
      <c r="N11" s="6">
        <f>Table1[[#This Row],[Part Price]]*Table1[[#This Row],[Order Qty]]</f>
        <v>1.7000000000000001E-2</v>
      </c>
      <c r="P11" s="3" t="s">
        <v>9</v>
      </c>
    </row>
    <row r="12" spans="1:16" s="1" customFormat="1" x14ac:dyDescent="0.3">
      <c r="A12" s="1">
        <v>11</v>
      </c>
      <c r="B12" s="1" t="s">
        <v>28</v>
      </c>
      <c r="C12" s="1" t="s">
        <v>29</v>
      </c>
      <c r="D12" s="1">
        <v>1</v>
      </c>
      <c r="E12" s="1" t="s">
        <v>30</v>
      </c>
      <c r="F12" s="1" t="s">
        <v>9</v>
      </c>
      <c r="G12" s="1" t="s">
        <v>31</v>
      </c>
      <c r="H12" s="1" t="s">
        <v>9</v>
      </c>
      <c r="I12" s="1" t="s">
        <v>165</v>
      </c>
      <c r="J12" s="1" t="s">
        <v>237</v>
      </c>
      <c r="K12" s="1">
        <v>4072044</v>
      </c>
      <c r="L12" s="8">
        <v>0.12</v>
      </c>
      <c r="M12" s="7">
        <v>5</v>
      </c>
      <c r="N12" s="6">
        <f>Table1[[#This Row],[Part Price]]*Table1[[#This Row],[Order Qty]]</f>
        <v>0.6</v>
      </c>
      <c r="O12" s="1" t="s">
        <v>238</v>
      </c>
      <c r="P12" s="3" t="s">
        <v>9</v>
      </c>
    </row>
    <row r="13" spans="1:16" s="1" customFormat="1" x14ac:dyDescent="0.3">
      <c r="A13" s="1">
        <v>12</v>
      </c>
      <c r="B13" s="1" t="s">
        <v>177</v>
      </c>
      <c r="C13" s="1" t="s">
        <v>32</v>
      </c>
      <c r="D13" s="1">
        <v>2</v>
      </c>
      <c r="E13" s="1" t="s">
        <v>33</v>
      </c>
      <c r="F13" s="1" t="s">
        <v>34</v>
      </c>
      <c r="G13" s="1" t="s">
        <v>35</v>
      </c>
      <c r="H13" s="1" t="s">
        <v>9</v>
      </c>
      <c r="I13" s="1" t="s">
        <v>165</v>
      </c>
      <c r="J13" s="1" t="s">
        <v>32</v>
      </c>
      <c r="K13" s="1">
        <v>1688320</v>
      </c>
      <c r="L13" s="8">
        <v>1.4</v>
      </c>
      <c r="M13" s="7">
        <v>2</v>
      </c>
      <c r="N13" s="6">
        <f>Table1[[#This Row],[Part Price]]*Table1[[#This Row],[Order Qty]]</f>
        <v>2.8</v>
      </c>
      <c r="O13" s="1" t="s">
        <v>157</v>
      </c>
      <c r="P13" s="3" t="s">
        <v>9</v>
      </c>
    </row>
    <row r="14" spans="1:16" s="1" customFormat="1" x14ac:dyDescent="0.3">
      <c r="A14" s="1">
        <v>13</v>
      </c>
      <c r="B14" s="1" t="s">
        <v>36</v>
      </c>
      <c r="C14" s="1" t="s">
        <v>37</v>
      </c>
      <c r="D14" s="1">
        <v>1</v>
      </c>
      <c r="E14" s="1" t="s">
        <v>38</v>
      </c>
      <c r="G14" s="1" t="s">
        <v>39</v>
      </c>
      <c r="H14" s="1" t="s">
        <v>9</v>
      </c>
      <c r="I14" s="1" t="s">
        <v>165</v>
      </c>
      <c r="J14" s="1" t="s">
        <v>155</v>
      </c>
      <c r="K14" s="1">
        <v>2614940</v>
      </c>
      <c r="L14" s="8">
        <v>1.87</v>
      </c>
      <c r="M14" s="7">
        <v>1</v>
      </c>
      <c r="N14" s="6">
        <f>Table1[[#This Row],[Part Price]]*Table1[[#This Row],[Order Qty]]</f>
        <v>1.87</v>
      </c>
      <c r="O14" s="1" t="s">
        <v>156</v>
      </c>
      <c r="P14" s="3" t="s">
        <v>9</v>
      </c>
    </row>
    <row r="15" spans="1:16" s="1" customFormat="1" x14ac:dyDescent="0.3">
      <c r="A15" s="1">
        <v>14</v>
      </c>
      <c r="B15" s="1" t="s">
        <v>40</v>
      </c>
      <c r="C15" s="1" t="s">
        <v>41</v>
      </c>
      <c r="D15" s="1">
        <v>1</v>
      </c>
      <c r="E15" s="1" t="s">
        <v>42</v>
      </c>
      <c r="F15" s="1" t="s">
        <v>43</v>
      </c>
      <c r="G15" s="1" t="s">
        <v>44</v>
      </c>
      <c r="H15" s="1" t="s">
        <v>9</v>
      </c>
      <c r="I15" s="1" t="s">
        <v>165</v>
      </c>
      <c r="J15" s="1" t="s">
        <v>45</v>
      </c>
      <c r="K15" s="1">
        <v>2924867</v>
      </c>
      <c r="L15" s="8">
        <v>1.01</v>
      </c>
      <c r="M15" s="7">
        <v>1</v>
      </c>
      <c r="N15" s="6">
        <f>Table1[[#This Row],[Part Price]]*Table1[[#This Row],[Order Qty]]</f>
        <v>1.01</v>
      </c>
      <c r="O15" s="1" t="s">
        <v>46</v>
      </c>
      <c r="P15" s="3" t="s">
        <v>9</v>
      </c>
    </row>
    <row r="16" spans="1:16" s="1" customFormat="1" x14ac:dyDescent="0.3">
      <c r="A16" s="1">
        <v>15</v>
      </c>
      <c r="B16" s="1" t="s">
        <v>47</v>
      </c>
      <c r="C16" s="1" t="s">
        <v>48</v>
      </c>
      <c r="D16" s="1">
        <v>1</v>
      </c>
      <c r="E16" s="1" t="s">
        <v>49</v>
      </c>
      <c r="F16" s="1" t="s">
        <v>153</v>
      </c>
      <c r="G16" s="1" t="s">
        <v>50</v>
      </c>
      <c r="H16" s="1" t="s">
        <v>9</v>
      </c>
      <c r="I16" s="1" t="s">
        <v>165</v>
      </c>
      <c r="J16" s="1" t="s">
        <v>242</v>
      </c>
      <c r="K16" s="1">
        <v>1462758</v>
      </c>
      <c r="L16" s="8">
        <v>1.54</v>
      </c>
      <c r="M16" s="7">
        <v>1</v>
      </c>
      <c r="N16" s="6">
        <f>Table1[[#This Row],[Part Price]]*Table1[[#This Row],[Order Qty]]</f>
        <v>1.54</v>
      </c>
      <c r="O16" s="1" t="s">
        <v>243</v>
      </c>
      <c r="P16" s="3" t="s">
        <v>9</v>
      </c>
    </row>
    <row r="17" spans="1:16" s="1" customFormat="1" x14ac:dyDescent="0.3">
      <c r="A17" s="1">
        <v>16</v>
      </c>
      <c r="B17" s="1" t="s">
        <v>178</v>
      </c>
      <c r="C17" s="1" t="s">
        <v>51</v>
      </c>
      <c r="D17" s="1">
        <v>6</v>
      </c>
      <c r="E17" s="1" t="s">
        <v>52</v>
      </c>
      <c r="F17" s="1" t="s">
        <v>53</v>
      </c>
      <c r="G17" s="1" t="s">
        <v>54</v>
      </c>
      <c r="H17" s="1" t="s">
        <v>9</v>
      </c>
      <c r="I17" s="1" t="s">
        <v>165</v>
      </c>
      <c r="J17" s="1" t="s">
        <v>55</v>
      </c>
      <c r="K17" s="1">
        <v>3103081</v>
      </c>
      <c r="L17" s="8">
        <v>0.95</v>
      </c>
      <c r="M17" s="7">
        <v>6</v>
      </c>
      <c r="N17" s="6">
        <f>Table1[[#This Row],[Part Price]]*Table1[[#This Row],[Order Qty]]</f>
        <v>5.6999999999999993</v>
      </c>
      <c r="O17" s="1" t="s">
        <v>56</v>
      </c>
      <c r="P17" s="3" t="s">
        <v>9</v>
      </c>
    </row>
    <row r="18" spans="1:16" s="1" customFormat="1" x14ac:dyDescent="0.3">
      <c r="A18" s="1">
        <v>17</v>
      </c>
      <c r="B18" s="1" t="s">
        <v>57</v>
      </c>
      <c r="C18" s="1" t="s">
        <v>148</v>
      </c>
      <c r="D18" s="1">
        <v>1</v>
      </c>
      <c r="E18" s="1" t="s">
        <v>58</v>
      </c>
      <c r="F18" s="1" t="s">
        <v>9</v>
      </c>
      <c r="G18" s="1" t="s">
        <v>59</v>
      </c>
      <c r="H18" s="1" t="s">
        <v>9</v>
      </c>
      <c r="I18" s="1" t="s">
        <v>166</v>
      </c>
      <c r="J18" s="1" t="s">
        <v>151</v>
      </c>
      <c r="K18" s="1">
        <v>4568814</v>
      </c>
      <c r="L18" s="8">
        <v>1.4</v>
      </c>
      <c r="M18" s="7">
        <v>1</v>
      </c>
      <c r="N18" s="6">
        <f>Table1[[#This Row],[Part Price]]*Table1[[#This Row],[Order Qty]]</f>
        <v>1.4</v>
      </c>
      <c r="O18" s="1" t="s">
        <v>152</v>
      </c>
      <c r="P18" s="3" t="s">
        <v>9</v>
      </c>
    </row>
    <row r="19" spans="1:16" s="1" customFormat="1" x14ac:dyDescent="0.3">
      <c r="A19" s="1">
        <v>18</v>
      </c>
      <c r="B19" s="1" t="s">
        <v>60</v>
      </c>
      <c r="C19" s="1" t="s">
        <v>61</v>
      </c>
      <c r="D19" s="1">
        <v>1</v>
      </c>
      <c r="E19" s="1" t="s">
        <v>228</v>
      </c>
      <c r="G19" s="1" t="s">
        <v>62</v>
      </c>
      <c r="H19" s="1" t="s">
        <v>9</v>
      </c>
      <c r="I19" s="1" t="s">
        <v>165</v>
      </c>
      <c r="J19" s="1" t="s">
        <v>188</v>
      </c>
      <c r="K19" s="1">
        <v>1864116</v>
      </c>
      <c r="L19" s="8">
        <v>0.25</v>
      </c>
      <c r="M19" s="7">
        <v>1</v>
      </c>
      <c r="N19" s="6">
        <f>Table1[[#This Row],[Part Price]]*Table1[[#This Row],[Order Qty]]</f>
        <v>0.25</v>
      </c>
      <c r="O19" s="1" t="s">
        <v>241</v>
      </c>
      <c r="P19" s="3" t="s">
        <v>9</v>
      </c>
    </row>
    <row r="20" spans="1:16" s="1" customFormat="1" x14ac:dyDescent="0.3">
      <c r="A20" s="1">
        <v>19</v>
      </c>
      <c r="B20" s="1" t="s">
        <v>63</v>
      </c>
      <c r="C20" s="1" t="s">
        <v>64</v>
      </c>
      <c r="D20" s="1">
        <v>1</v>
      </c>
      <c r="E20" s="1" t="s">
        <v>226</v>
      </c>
      <c r="F20" s="1" t="s">
        <v>9</v>
      </c>
      <c r="G20" s="1" t="s">
        <v>65</v>
      </c>
      <c r="H20" s="1" t="s">
        <v>9</v>
      </c>
      <c r="I20" s="1" t="s">
        <v>165</v>
      </c>
      <c r="J20" s="1" t="s">
        <v>187</v>
      </c>
      <c r="K20" s="1">
        <v>3796319</v>
      </c>
      <c r="L20" s="8">
        <v>0.13</v>
      </c>
      <c r="M20" s="7">
        <v>5</v>
      </c>
      <c r="N20" s="6">
        <f>Table1[[#This Row],[Part Price]]*Table1[[#This Row],[Order Qty]]</f>
        <v>0.65</v>
      </c>
      <c r="O20" s="1" t="s">
        <v>239</v>
      </c>
      <c r="P20" s="3" t="s">
        <v>9</v>
      </c>
    </row>
    <row r="21" spans="1:16" s="1" customFormat="1" x14ac:dyDescent="0.3">
      <c r="A21" s="1">
        <v>20</v>
      </c>
      <c r="B21" s="1" t="s">
        <v>66</v>
      </c>
      <c r="C21" s="1" t="s">
        <v>67</v>
      </c>
      <c r="D21" s="1">
        <v>1</v>
      </c>
      <c r="E21" s="1" t="s">
        <v>227</v>
      </c>
      <c r="F21" s="1" t="s">
        <v>9</v>
      </c>
      <c r="G21" s="1" t="s">
        <v>65</v>
      </c>
      <c r="H21" s="1" t="s">
        <v>9</v>
      </c>
      <c r="I21" s="1" t="s">
        <v>224</v>
      </c>
      <c r="J21" s="1" t="s">
        <v>186</v>
      </c>
      <c r="K21" s="1">
        <v>3796306</v>
      </c>
      <c r="L21" s="8">
        <v>0</v>
      </c>
      <c r="M21" s="7">
        <v>0</v>
      </c>
      <c r="N21" s="6">
        <f>Table1[[#This Row],[Part Price]]*Table1[[#This Row],[Order Qty]]</f>
        <v>0</v>
      </c>
      <c r="O21" s="1" t="s">
        <v>240</v>
      </c>
      <c r="P21" s="3" t="s">
        <v>9</v>
      </c>
    </row>
    <row r="22" spans="1:16" s="1" customFormat="1" x14ac:dyDescent="0.3">
      <c r="A22" s="1">
        <v>21</v>
      </c>
      <c r="B22" s="1" t="s">
        <v>179</v>
      </c>
      <c r="C22" s="1" t="s">
        <v>68</v>
      </c>
      <c r="D22" s="1">
        <v>2</v>
      </c>
      <c r="E22" s="1" t="s">
        <v>69</v>
      </c>
      <c r="F22" s="1" t="s">
        <v>9</v>
      </c>
      <c r="G22" s="1" t="s">
        <v>70</v>
      </c>
      <c r="H22" s="1" t="s">
        <v>9</v>
      </c>
      <c r="I22" s="1" t="s">
        <v>166</v>
      </c>
      <c r="J22" s="1" t="s">
        <v>201</v>
      </c>
      <c r="K22" s="1" t="s">
        <v>202</v>
      </c>
      <c r="L22" s="8">
        <v>8.0000000000000004E-4</v>
      </c>
      <c r="M22" s="7">
        <v>10</v>
      </c>
      <c r="N22" s="6">
        <f>Table1[[#This Row],[Part Price]]*Table1[[#This Row],[Order Qty]]</f>
        <v>8.0000000000000002E-3</v>
      </c>
      <c r="P22" s="3" t="s">
        <v>9</v>
      </c>
    </row>
    <row r="23" spans="1:16" s="1" customFormat="1" x14ac:dyDescent="0.3">
      <c r="A23" s="1">
        <v>22</v>
      </c>
      <c r="B23" s="1" t="s">
        <v>71</v>
      </c>
      <c r="C23" s="1" t="s">
        <v>72</v>
      </c>
      <c r="D23" s="1">
        <v>1</v>
      </c>
      <c r="E23" s="1" t="s">
        <v>69</v>
      </c>
      <c r="F23" s="1" t="s">
        <v>9</v>
      </c>
      <c r="G23" s="1" t="s">
        <v>70</v>
      </c>
      <c r="H23" s="1" t="s">
        <v>9</v>
      </c>
      <c r="I23" s="1" t="s">
        <v>166</v>
      </c>
      <c r="J23" s="1" t="s">
        <v>203</v>
      </c>
      <c r="K23" s="1" t="s">
        <v>204</v>
      </c>
      <c r="L23" s="8">
        <v>4.0000000000000002E-4</v>
      </c>
      <c r="M23" s="7">
        <v>10</v>
      </c>
      <c r="N23" s="6">
        <f>Table1[[#This Row],[Part Price]]*Table1[[#This Row],[Order Qty]]</f>
        <v>4.0000000000000001E-3</v>
      </c>
      <c r="P23" s="3" t="s">
        <v>9</v>
      </c>
    </row>
    <row r="24" spans="1:16" s="1" customFormat="1" x14ac:dyDescent="0.3">
      <c r="A24" s="1">
        <v>23</v>
      </c>
      <c r="B24" s="1" t="s">
        <v>73</v>
      </c>
      <c r="C24" s="1" t="s">
        <v>74</v>
      </c>
      <c r="D24" s="1">
        <v>1</v>
      </c>
      <c r="E24" s="1" t="s">
        <v>75</v>
      </c>
      <c r="F24" s="1" t="s">
        <v>9</v>
      </c>
      <c r="G24" s="1" t="s">
        <v>76</v>
      </c>
      <c r="H24" s="1" t="s">
        <v>9</v>
      </c>
      <c r="I24" s="1" t="s">
        <v>166</v>
      </c>
      <c r="J24" s="1" t="s">
        <v>205</v>
      </c>
      <c r="K24" s="1" t="s">
        <v>206</v>
      </c>
      <c r="L24" s="8">
        <v>6.9999999999999999E-4</v>
      </c>
      <c r="M24" s="7">
        <v>10</v>
      </c>
      <c r="N24" s="6">
        <f>Table1[[#This Row],[Part Price]]*Table1[[#This Row],[Order Qty]]</f>
        <v>7.0000000000000001E-3</v>
      </c>
      <c r="P24" s="3" t="s">
        <v>9</v>
      </c>
    </row>
    <row r="25" spans="1:16" s="1" customFormat="1" x14ac:dyDescent="0.3">
      <c r="A25" s="1">
        <v>24</v>
      </c>
      <c r="B25" s="1" t="s">
        <v>180</v>
      </c>
      <c r="C25" s="1" t="s">
        <v>77</v>
      </c>
      <c r="D25" s="1">
        <v>2</v>
      </c>
      <c r="E25" s="1" t="s">
        <v>75</v>
      </c>
      <c r="F25" s="1" t="s">
        <v>9</v>
      </c>
      <c r="G25" s="1" t="s">
        <v>76</v>
      </c>
      <c r="H25" s="1" t="s">
        <v>9</v>
      </c>
      <c r="I25" s="1" t="s">
        <v>166</v>
      </c>
      <c r="J25" s="1" t="s">
        <v>207</v>
      </c>
      <c r="K25" s="1" t="s">
        <v>208</v>
      </c>
      <c r="L25" s="8">
        <v>6.9999999999999999E-4</v>
      </c>
      <c r="M25" s="7">
        <v>10</v>
      </c>
      <c r="N25" s="6">
        <f>Table1[[#This Row],[Part Price]]*Table1[[#This Row],[Order Qty]]</f>
        <v>7.0000000000000001E-3</v>
      </c>
      <c r="P25" s="3" t="s">
        <v>9</v>
      </c>
    </row>
    <row r="26" spans="1:16" s="1" customFormat="1" x14ac:dyDescent="0.3">
      <c r="A26" s="1">
        <v>25</v>
      </c>
      <c r="B26" s="1" t="s">
        <v>181</v>
      </c>
      <c r="C26" s="1" t="s">
        <v>223</v>
      </c>
      <c r="D26" s="1">
        <v>2</v>
      </c>
      <c r="E26" s="1" t="s">
        <v>75</v>
      </c>
      <c r="F26" s="1" t="s">
        <v>9</v>
      </c>
      <c r="G26" s="1" t="s">
        <v>76</v>
      </c>
      <c r="H26" s="1" t="s">
        <v>9</v>
      </c>
      <c r="I26" s="1" t="s">
        <v>224</v>
      </c>
      <c r="J26" s="1" t="s">
        <v>225</v>
      </c>
      <c r="K26" s="1" t="s">
        <v>225</v>
      </c>
      <c r="L26" s="8">
        <v>0</v>
      </c>
      <c r="M26" s="7">
        <v>0</v>
      </c>
      <c r="N26" s="6">
        <f>Table1[[#This Row],[Part Price]]*Table1[[#This Row],[Order Qty]]</f>
        <v>0</v>
      </c>
      <c r="P26" s="3" t="s">
        <v>9</v>
      </c>
    </row>
    <row r="27" spans="1:16" s="1" customFormat="1" x14ac:dyDescent="0.3">
      <c r="A27" s="1">
        <v>26</v>
      </c>
      <c r="B27" s="1" t="s">
        <v>182</v>
      </c>
      <c r="C27" s="1" t="s">
        <v>149</v>
      </c>
      <c r="D27" s="1">
        <v>2</v>
      </c>
      <c r="E27" s="1" t="s">
        <v>75</v>
      </c>
      <c r="F27" s="1" t="s">
        <v>9</v>
      </c>
      <c r="G27" s="1" t="s">
        <v>76</v>
      </c>
      <c r="H27" s="1" t="s">
        <v>9</v>
      </c>
      <c r="I27" s="1" t="s">
        <v>166</v>
      </c>
      <c r="J27" s="1" t="s">
        <v>209</v>
      </c>
      <c r="K27" s="1" t="s">
        <v>210</v>
      </c>
      <c r="L27" s="8">
        <v>8.0000000000000004E-4</v>
      </c>
      <c r="M27" s="7">
        <v>10</v>
      </c>
      <c r="N27" s="6">
        <f>Table1[[#This Row],[Part Price]]*Table1[[#This Row],[Order Qty]]</f>
        <v>8.0000000000000002E-3</v>
      </c>
      <c r="P27" s="3" t="s">
        <v>9</v>
      </c>
    </row>
    <row r="28" spans="1:16" s="1" customFormat="1" x14ac:dyDescent="0.3">
      <c r="A28" s="1">
        <v>27</v>
      </c>
      <c r="B28" s="1" t="s">
        <v>183</v>
      </c>
      <c r="C28" s="1" t="s">
        <v>78</v>
      </c>
      <c r="D28" s="1">
        <v>2</v>
      </c>
      <c r="E28" s="1" t="s">
        <v>75</v>
      </c>
      <c r="F28" s="1" t="s">
        <v>9</v>
      </c>
      <c r="G28" s="1" t="s">
        <v>76</v>
      </c>
      <c r="H28" s="1" t="s">
        <v>9</v>
      </c>
      <c r="I28" s="1" t="s">
        <v>166</v>
      </c>
      <c r="J28" s="1" t="s">
        <v>211</v>
      </c>
      <c r="K28" s="1" t="s">
        <v>212</v>
      </c>
      <c r="L28" s="8">
        <v>8.0000000000000004E-4</v>
      </c>
      <c r="M28" s="7">
        <v>10</v>
      </c>
      <c r="N28" s="6">
        <f>Table1[[#This Row],[Part Price]]*Table1[[#This Row],[Order Qty]]</f>
        <v>8.0000000000000002E-3</v>
      </c>
      <c r="P28" s="3" t="s">
        <v>9</v>
      </c>
    </row>
    <row r="29" spans="1:16" s="1" customFormat="1" x14ac:dyDescent="0.3">
      <c r="A29" s="1">
        <v>28</v>
      </c>
      <c r="B29" s="1" t="s">
        <v>79</v>
      </c>
      <c r="C29" s="1" t="s">
        <v>80</v>
      </c>
      <c r="D29" s="1">
        <v>1</v>
      </c>
      <c r="E29" s="1" t="s">
        <v>81</v>
      </c>
      <c r="F29" s="1" t="s">
        <v>9</v>
      </c>
      <c r="G29" s="1" t="s">
        <v>82</v>
      </c>
      <c r="H29" s="1" t="s">
        <v>9</v>
      </c>
      <c r="I29" s="1" t="s">
        <v>166</v>
      </c>
      <c r="L29" s="8"/>
      <c r="M29" s="7">
        <v>10</v>
      </c>
      <c r="N29" s="6">
        <f>Table1[[#This Row],[Part Price]]*Table1[[#This Row],[Order Qty]]</f>
        <v>0</v>
      </c>
      <c r="P29" s="3" t="s">
        <v>9</v>
      </c>
    </row>
    <row r="30" spans="1:16" s="1" customFormat="1" x14ac:dyDescent="0.3">
      <c r="A30" s="1">
        <v>29</v>
      </c>
      <c r="B30" s="1" t="s">
        <v>184</v>
      </c>
      <c r="C30" s="1" t="s">
        <v>83</v>
      </c>
      <c r="D30" s="1">
        <v>2</v>
      </c>
      <c r="E30" s="1" t="s">
        <v>75</v>
      </c>
      <c r="F30" s="1" t="s">
        <v>9</v>
      </c>
      <c r="G30" s="1" t="s">
        <v>76</v>
      </c>
      <c r="H30" s="1" t="s">
        <v>9</v>
      </c>
      <c r="I30" s="1" t="s">
        <v>166</v>
      </c>
      <c r="J30" s="1" t="s">
        <v>213</v>
      </c>
      <c r="K30" s="1" t="s">
        <v>214</v>
      </c>
      <c r="L30" s="8">
        <v>8.0000000000000004E-4</v>
      </c>
      <c r="M30" s="7">
        <v>10</v>
      </c>
      <c r="N30" s="6">
        <f>Table1[[#This Row],[Part Price]]*Table1[[#This Row],[Order Qty]]</f>
        <v>8.0000000000000002E-3</v>
      </c>
      <c r="P30" s="3" t="s">
        <v>9</v>
      </c>
    </row>
    <row r="31" spans="1:16" s="1" customFormat="1" x14ac:dyDescent="0.3">
      <c r="A31" s="1">
        <v>30</v>
      </c>
      <c r="B31" s="1" t="s">
        <v>84</v>
      </c>
      <c r="C31" s="1" t="s">
        <v>85</v>
      </c>
      <c r="D31" s="1">
        <v>1</v>
      </c>
      <c r="E31" s="1" t="s">
        <v>75</v>
      </c>
      <c r="F31" s="1" t="s">
        <v>9</v>
      </c>
      <c r="G31" s="1" t="s">
        <v>76</v>
      </c>
      <c r="H31" s="1" t="s">
        <v>9</v>
      </c>
      <c r="I31" s="1" t="s">
        <v>166</v>
      </c>
      <c r="J31" s="1" t="s">
        <v>215</v>
      </c>
      <c r="K31" s="1" t="s">
        <v>216</v>
      </c>
      <c r="L31" s="8">
        <v>8.9999999999999998E-4</v>
      </c>
      <c r="M31" s="7">
        <v>10</v>
      </c>
      <c r="N31" s="6">
        <f>Table1[[#This Row],[Part Price]]*Table1[[#This Row],[Order Qty]]</f>
        <v>8.9999999999999993E-3</v>
      </c>
      <c r="P31" s="3" t="s">
        <v>9</v>
      </c>
    </row>
    <row r="32" spans="1:16" s="1" customFormat="1" x14ac:dyDescent="0.3">
      <c r="A32" s="1">
        <v>31</v>
      </c>
      <c r="B32" s="1" t="s">
        <v>185</v>
      </c>
      <c r="C32" s="1" t="s">
        <v>150</v>
      </c>
      <c r="D32" s="1">
        <v>3</v>
      </c>
      <c r="E32" s="1" t="s">
        <v>86</v>
      </c>
      <c r="F32" s="1" t="s">
        <v>9</v>
      </c>
      <c r="G32" s="1" t="s">
        <v>87</v>
      </c>
      <c r="H32" s="1" t="s">
        <v>9</v>
      </c>
      <c r="I32" s="1" t="s">
        <v>166</v>
      </c>
      <c r="J32" s="1" t="s">
        <v>217</v>
      </c>
      <c r="K32" s="1" t="s">
        <v>218</v>
      </c>
      <c r="L32" s="8">
        <v>3.7000000000000002E-3</v>
      </c>
      <c r="M32" s="7">
        <v>10</v>
      </c>
      <c r="N32" s="6">
        <f>Table1[[#This Row],[Part Price]]*Table1[[#This Row],[Order Qty]]</f>
        <v>3.7000000000000005E-2</v>
      </c>
      <c r="P32" s="3" t="s">
        <v>9</v>
      </c>
    </row>
    <row r="33" spans="1:16" s="1" customFormat="1" x14ac:dyDescent="0.3">
      <c r="A33" s="1">
        <v>32</v>
      </c>
      <c r="B33" s="1" t="s">
        <v>88</v>
      </c>
      <c r="C33" s="1" t="s">
        <v>89</v>
      </c>
      <c r="D33" s="1">
        <v>1</v>
      </c>
      <c r="E33" s="1" t="s">
        <v>75</v>
      </c>
      <c r="F33" s="1" t="s">
        <v>9</v>
      </c>
      <c r="G33" s="1" t="s">
        <v>76</v>
      </c>
      <c r="H33" s="1" t="s">
        <v>9</v>
      </c>
      <c r="I33" s="1" t="s">
        <v>166</v>
      </c>
      <c r="J33" s="1" t="s">
        <v>219</v>
      </c>
      <c r="K33" s="1" t="s">
        <v>220</v>
      </c>
      <c r="L33" s="8">
        <v>8.0000000000000004E-4</v>
      </c>
      <c r="M33" s="7">
        <v>10</v>
      </c>
      <c r="N33" s="6">
        <f>Table1[[#This Row],[Part Price]]*Table1[[#This Row],[Order Qty]]</f>
        <v>8.0000000000000002E-3</v>
      </c>
      <c r="P33" s="3" t="s">
        <v>9</v>
      </c>
    </row>
    <row r="34" spans="1:16" s="1" customFormat="1" x14ac:dyDescent="0.3">
      <c r="A34" s="1">
        <v>33</v>
      </c>
      <c r="B34" s="1" t="s">
        <v>90</v>
      </c>
      <c r="C34" s="1" t="s">
        <v>91</v>
      </c>
      <c r="D34" s="1">
        <v>1</v>
      </c>
      <c r="E34" s="1" t="s">
        <v>75</v>
      </c>
      <c r="F34" s="1" t="s">
        <v>9</v>
      </c>
      <c r="G34" s="1" t="s">
        <v>76</v>
      </c>
      <c r="H34" s="1" t="s">
        <v>9</v>
      </c>
      <c r="I34" s="1" t="s">
        <v>166</v>
      </c>
      <c r="J34" s="1" t="s">
        <v>221</v>
      </c>
      <c r="K34" s="1" t="s">
        <v>222</v>
      </c>
      <c r="L34" s="8">
        <v>8.0000000000000004E-4</v>
      </c>
      <c r="M34" s="7">
        <v>10</v>
      </c>
      <c r="N34" s="6">
        <f>Table1[[#This Row],[Part Price]]*Table1[[#This Row],[Order Qty]]</f>
        <v>8.0000000000000002E-3</v>
      </c>
      <c r="P34" s="3" t="s">
        <v>9</v>
      </c>
    </row>
    <row r="35" spans="1:16" s="1" customFormat="1" x14ac:dyDescent="0.3">
      <c r="A35" s="1">
        <v>34</v>
      </c>
      <c r="B35" s="1" t="s">
        <v>92</v>
      </c>
      <c r="C35" s="1" t="s">
        <v>80</v>
      </c>
      <c r="D35" s="1">
        <v>1</v>
      </c>
      <c r="E35" s="1" t="s">
        <v>75</v>
      </c>
      <c r="F35" s="1" t="s">
        <v>9</v>
      </c>
      <c r="G35" s="1" t="s">
        <v>76</v>
      </c>
      <c r="H35" s="1" t="s">
        <v>9</v>
      </c>
      <c r="I35" s="1" t="s">
        <v>166</v>
      </c>
      <c r="L35" s="8"/>
      <c r="M35" s="7"/>
      <c r="N35" s="6">
        <f>Table1[[#This Row],[Part Price]]*Table1[[#This Row],[Order Qty]]</f>
        <v>0</v>
      </c>
      <c r="P35" s="3" t="s">
        <v>9</v>
      </c>
    </row>
    <row r="36" spans="1:16" s="1" customFormat="1" x14ac:dyDescent="0.3">
      <c r="A36" s="1">
        <v>35</v>
      </c>
      <c r="B36" s="1" t="s">
        <v>93</v>
      </c>
      <c r="C36" s="1" t="s">
        <v>94</v>
      </c>
      <c r="D36" s="1">
        <v>1</v>
      </c>
      <c r="E36" s="1" t="s">
        <v>95</v>
      </c>
      <c r="F36" s="1" t="s">
        <v>9</v>
      </c>
      <c r="G36" s="1" t="s">
        <v>96</v>
      </c>
      <c r="H36" s="1" t="s">
        <v>9</v>
      </c>
      <c r="I36" s="1" t="s">
        <v>166</v>
      </c>
      <c r="J36" s="1" t="s">
        <v>94</v>
      </c>
      <c r="K36" s="2" t="s">
        <v>154</v>
      </c>
      <c r="L36" s="8">
        <v>0.89</v>
      </c>
      <c r="M36" s="7">
        <v>2</v>
      </c>
      <c r="N36" s="6">
        <f>Table1[[#This Row],[Part Price]]*Table1[[#This Row],[Order Qty]]</f>
        <v>1.78</v>
      </c>
      <c r="P36" s="3" t="s">
        <v>9</v>
      </c>
    </row>
    <row r="37" spans="1:16" s="1" customFormat="1" x14ac:dyDescent="0.3">
      <c r="A37" s="1">
        <v>36</v>
      </c>
      <c r="B37" s="1" t="s">
        <v>97</v>
      </c>
      <c r="C37" s="1" t="s">
        <v>98</v>
      </c>
      <c r="D37" s="1">
        <v>1</v>
      </c>
      <c r="E37" s="1" t="s">
        <v>99</v>
      </c>
      <c r="F37" s="1" t="s">
        <v>100</v>
      </c>
      <c r="G37" s="1" t="s">
        <v>101</v>
      </c>
      <c r="H37" s="1" t="s">
        <v>9</v>
      </c>
      <c r="I37" s="1" t="s">
        <v>165</v>
      </c>
      <c r="J37" s="1" t="s">
        <v>102</v>
      </c>
      <c r="K37" s="1">
        <v>4128033</v>
      </c>
      <c r="L37" s="8">
        <v>1.94</v>
      </c>
      <c r="M37" s="7">
        <v>1</v>
      </c>
      <c r="N37" s="6">
        <f>Table1[[#This Row],[Part Price]]*Table1[[#This Row],[Order Qty]]</f>
        <v>1.94</v>
      </c>
      <c r="O37" s="1" t="s">
        <v>103</v>
      </c>
      <c r="P37" s="3" t="s">
        <v>9</v>
      </c>
    </row>
    <row r="38" spans="1:16" s="1" customFormat="1" x14ac:dyDescent="0.3">
      <c r="A38" s="1">
        <v>37</v>
      </c>
      <c r="B38" s="1" t="s">
        <v>104</v>
      </c>
      <c r="C38" s="1" t="s">
        <v>105</v>
      </c>
      <c r="D38" s="1">
        <v>1</v>
      </c>
      <c r="E38" s="1" t="s">
        <v>106</v>
      </c>
      <c r="F38" s="1" t="s">
        <v>107</v>
      </c>
      <c r="G38" s="1" t="s">
        <v>108</v>
      </c>
      <c r="H38" s="1" t="s">
        <v>9</v>
      </c>
      <c r="I38" s="1" t="s">
        <v>165</v>
      </c>
      <c r="J38" s="1" t="s">
        <v>109</v>
      </c>
      <c r="K38" s="1">
        <v>2534283</v>
      </c>
      <c r="L38" s="8">
        <v>0.38</v>
      </c>
      <c r="M38" s="7">
        <v>5</v>
      </c>
      <c r="N38" s="6">
        <f>Table1[[#This Row],[Part Price]]*Table1[[#This Row],[Order Qty]]</f>
        <v>1.9</v>
      </c>
      <c r="O38" s="1" t="s">
        <v>110</v>
      </c>
      <c r="P38" s="3" t="s">
        <v>9</v>
      </c>
    </row>
    <row r="39" spans="1:16" s="1" customFormat="1" x14ac:dyDescent="0.3">
      <c r="A39" s="1">
        <v>38</v>
      </c>
      <c r="B39" s="1" t="s">
        <v>111</v>
      </c>
      <c r="C39" s="1" t="s">
        <v>168</v>
      </c>
      <c r="D39" s="1">
        <v>1</v>
      </c>
      <c r="E39" s="1" t="s">
        <v>112</v>
      </c>
      <c r="F39" s="1" t="s">
        <v>169</v>
      </c>
      <c r="G39" s="1" t="s">
        <v>113</v>
      </c>
      <c r="H39" s="1" t="s">
        <v>9</v>
      </c>
      <c r="I39" s="1" t="s">
        <v>165</v>
      </c>
      <c r="J39" s="1" t="s">
        <v>167</v>
      </c>
      <c r="K39" s="1">
        <v>2983883</v>
      </c>
      <c r="L39" s="8">
        <v>1.34</v>
      </c>
      <c r="M39" s="7">
        <v>1</v>
      </c>
      <c r="N39" s="6">
        <f>Table1[[#This Row],[Part Price]]*Table1[[#This Row],[Order Qty]]</f>
        <v>1.34</v>
      </c>
      <c r="O39" s="1" t="s">
        <v>114</v>
      </c>
      <c r="P39" s="3" t="s">
        <v>9</v>
      </c>
    </row>
    <row r="40" spans="1:16" s="1" customFormat="1" x14ac:dyDescent="0.3">
      <c r="A40" s="1">
        <v>39</v>
      </c>
      <c r="B40" s="1" t="s">
        <v>115</v>
      </c>
      <c r="C40" s="1" t="s">
        <v>116</v>
      </c>
      <c r="D40" s="1">
        <v>1</v>
      </c>
      <c r="E40" s="1" t="s">
        <v>117</v>
      </c>
      <c r="F40" s="1" t="s">
        <v>118</v>
      </c>
      <c r="G40" s="1" t="s">
        <v>119</v>
      </c>
      <c r="H40" s="1" t="s">
        <v>9</v>
      </c>
      <c r="I40" s="1" t="s">
        <v>165</v>
      </c>
      <c r="J40" s="1" t="s">
        <v>120</v>
      </c>
      <c r="K40" s="1">
        <v>3121547</v>
      </c>
      <c r="L40" s="8">
        <v>1.85</v>
      </c>
      <c r="M40" s="7">
        <v>1</v>
      </c>
      <c r="N40" s="6">
        <f>Table1[[#This Row],[Part Price]]*Table1[[#This Row],[Order Qty]]</f>
        <v>1.85</v>
      </c>
      <c r="O40" s="1" t="s">
        <v>121</v>
      </c>
      <c r="P40" s="3" t="s">
        <v>9</v>
      </c>
    </row>
    <row r="41" spans="1:16" s="1" customFormat="1" x14ac:dyDescent="0.3">
      <c r="A41" s="1">
        <v>40</v>
      </c>
      <c r="B41" s="1" t="s">
        <v>122</v>
      </c>
      <c r="C41" s="1" t="s">
        <v>123</v>
      </c>
      <c r="D41" s="1">
        <v>1</v>
      </c>
      <c r="E41" s="1" t="s">
        <v>124</v>
      </c>
      <c r="F41" s="1" t="s">
        <v>125</v>
      </c>
      <c r="G41" s="1" t="s">
        <v>126</v>
      </c>
      <c r="H41" s="1" t="s">
        <v>9</v>
      </c>
      <c r="I41" s="1" t="s">
        <v>165</v>
      </c>
      <c r="J41" s="1" t="s">
        <v>127</v>
      </c>
      <c r="K41" s="1">
        <v>2907898</v>
      </c>
      <c r="L41" s="8">
        <v>1.72</v>
      </c>
      <c r="M41" s="7">
        <v>1</v>
      </c>
      <c r="N41" s="6">
        <f>Table1[[#This Row],[Part Price]]*Table1[[#This Row],[Order Qty]]</f>
        <v>1.72</v>
      </c>
      <c r="O41" s="1" t="s">
        <v>128</v>
      </c>
      <c r="P41" s="3" t="s">
        <v>9</v>
      </c>
    </row>
    <row r="42" spans="1:16" s="1" customFormat="1" x14ac:dyDescent="0.3">
      <c r="A42" s="1">
        <v>41</v>
      </c>
      <c r="B42" s="1" t="s">
        <v>176</v>
      </c>
      <c r="C42" s="1" t="s">
        <v>129</v>
      </c>
      <c r="D42" s="1">
        <v>2</v>
      </c>
      <c r="E42" s="1" t="s">
        <v>130</v>
      </c>
      <c r="F42" s="1" t="s">
        <v>131</v>
      </c>
      <c r="G42" s="1" t="s">
        <v>132</v>
      </c>
      <c r="H42" s="1" t="s">
        <v>9</v>
      </c>
      <c r="I42" s="1" t="s">
        <v>165</v>
      </c>
      <c r="J42" s="1" t="s">
        <v>133</v>
      </c>
      <c r="K42" s="1">
        <v>2991624</v>
      </c>
      <c r="L42" s="8">
        <v>3.49</v>
      </c>
      <c r="M42" s="7">
        <v>1</v>
      </c>
      <c r="N42" s="6">
        <f>Table1[[#This Row],[Part Price]]*Table1[[#This Row],[Order Qty]]</f>
        <v>3.49</v>
      </c>
      <c r="O42" s="1" t="s">
        <v>134</v>
      </c>
      <c r="P42" s="3" t="s">
        <v>9</v>
      </c>
    </row>
    <row r="43" spans="1:16" s="1" customFormat="1" x14ac:dyDescent="0.3">
      <c r="A43" s="1">
        <v>42</v>
      </c>
      <c r="B43" s="1" t="s">
        <v>135</v>
      </c>
      <c r="C43" s="1" t="s">
        <v>136</v>
      </c>
      <c r="D43" s="1">
        <v>1</v>
      </c>
      <c r="E43" s="1" t="s">
        <v>137</v>
      </c>
      <c r="F43" s="1" t="s">
        <v>138</v>
      </c>
      <c r="G43" s="1" t="s">
        <v>139</v>
      </c>
      <c r="H43" s="1" t="s">
        <v>9</v>
      </c>
      <c r="I43" s="1" t="s">
        <v>165</v>
      </c>
      <c r="J43" s="1" t="s">
        <v>140</v>
      </c>
      <c r="K43" s="1">
        <v>4551122</v>
      </c>
      <c r="L43" s="8">
        <v>0.52</v>
      </c>
      <c r="M43" s="7">
        <v>1</v>
      </c>
      <c r="N43" s="6">
        <f>Table1[[#This Row],[Part Price]]*Table1[[#This Row],[Order Qty]]</f>
        <v>0.52</v>
      </c>
      <c r="O43" s="1" t="s">
        <v>141</v>
      </c>
      <c r="P43" s="3" t="s">
        <v>9</v>
      </c>
    </row>
    <row r="44" spans="1:16" s="1" customFormat="1" x14ac:dyDescent="0.3">
      <c r="A44" s="1">
        <v>43</v>
      </c>
      <c r="B44" s="1" t="s">
        <v>142</v>
      </c>
      <c r="C44" s="1" t="s">
        <v>143</v>
      </c>
      <c r="D44" s="1">
        <v>1</v>
      </c>
      <c r="E44" s="1" t="s">
        <v>144</v>
      </c>
      <c r="F44" s="1" t="s">
        <v>9</v>
      </c>
      <c r="G44" s="1" t="s">
        <v>145</v>
      </c>
      <c r="H44" s="1" t="s">
        <v>9</v>
      </c>
      <c r="I44" s="1" t="s">
        <v>165</v>
      </c>
      <c r="J44" s="1" t="s">
        <v>143</v>
      </c>
      <c r="K44" s="1">
        <v>4331750</v>
      </c>
      <c r="L44" s="8">
        <v>0.67</v>
      </c>
      <c r="M44" s="7">
        <v>1</v>
      </c>
      <c r="N44" s="6">
        <f>Table1[[#This Row],[Part Price]]*Table1[[#This Row],[Order Qty]]</f>
        <v>0.67</v>
      </c>
      <c r="O44" s="1" t="s">
        <v>146</v>
      </c>
      <c r="P44" s="3" t="s">
        <v>9</v>
      </c>
    </row>
    <row r="45" spans="1:16" x14ac:dyDescent="0.3">
      <c r="A45" s="1" t="s">
        <v>248</v>
      </c>
      <c r="B45" s="1"/>
      <c r="C45" s="1"/>
      <c r="D45" s="1">
        <f>SUBTOTAL(109,Table1[Qty])</f>
        <v>83</v>
      </c>
      <c r="E45" s="1"/>
      <c r="F45" s="1"/>
      <c r="G45" s="1"/>
      <c r="H45" s="1"/>
      <c r="I45" s="1"/>
      <c r="J45" s="1"/>
      <c r="K45" s="1"/>
      <c r="L45" s="7"/>
      <c r="N45" s="6">
        <f>SUBTOTAL(109,Table1[Order Price])</f>
        <v>38.4754</v>
      </c>
      <c r="O45" s="1"/>
      <c r="P45" s="9">
        <f>SUBTOTAL(103,Table1[Column1])</f>
        <v>43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A0EFE862C9E4896BC66EA0AD3ED37" ma:contentTypeVersion="15" ma:contentTypeDescription="Create a new document." ma:contentTypeScope="" ma:versionID="39f6cf6a0f263ffed5e17511eeab0902">
  <xsd:schema xmlns:xsd="http://www.w3.org/2001/XMLSchema" xmlns:xs="http://www.w3.org/2001/XMLSchema" xmlns:p="http://schemas.microsoft.com/office/2006/metadata/properties" xmlns:ns1="http://schemas.microsoft.com/sharepoint/v3" xmlns:ns3="44300849-2881-4dcc-a888-6ac6667f27ea" targetNamespace="http://schemas.microsoft.com/office/2006/metadata/properties" ma:root="true" ma:fieldsID="5fdc306546ee31e68a32f4dd88135746" ns1:_="" ns3:_="">
    <xsd:import namespace="http://schemas.microsoft.com/sharepoint/v3"/>
    <xsd:import namespace="44300849-2881-4dcc-a888-6ac6667f27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00849-2881-4dcc-a888-6ac6667f27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44300849-2881-4dcc-a888-6ac6667f27e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84CDB0A-5DDE-4C3D-9461-0FC41B71F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40E8CF-D2B9-4889-AC15-47AEF6282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300849-2881-4dcc-a888-6ac6667f2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86E4D-74AC-4F7A-9510-DA1DAD0E44B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D3A3B40-E958-498C-B1FA-E70B877DFFB2}">
  <ds:schemaRefs>
    <ds:schemaRef ds:uri="http://schemas.microsoft.com/office/infopath/2007/PartnerControls"/>
    <ds:schemaRef ds:uri="http://purl.org/dc/dcmitype/"/>
    <ds:schemaRef ds:uri="44300849-2881-4dcc-a888-6ac6667f27e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COMET1_CCT_BOM</vt:lpstr>
      <vt:lpstr>BOM_JLCPCB</vt:lpstr>
      <vt:lpstr>BOM_FARNELL</vt:lpstr>
      <vt:lpstr>bkp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Wilson (ew8g21)</cp:lastModifiedBy>
  <dcterms:created xsi:type="dcterms:W3CDTF">2025-12-23T21:40:13Z</dcterms:created>
  <dcterms:modified xsi:type="dcterms:W3CDTF">2026-01-02T18:44:56Z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0x010100414A0EFE862C9E4896BC66EA0AD3ED37</vt:lpwstr>
  </property>
</Properties>
</file>